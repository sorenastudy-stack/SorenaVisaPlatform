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c2f4da6c9a40d7" /></Relationships>
</file>

<file path=xl/workbook.xml><?xml version="1.0" encoding="utf-8"?>
<x:workbook xmlns:x="http://schemas.openxmlformats.org/spreadsheetml/2006/main">
  <x:sheets>
    <x:sheet xmlns:r="http://schemas.openxmlformats.org/officeDocument/2006/relationships" name="Summary" sheetId="1" r:id="Rd3ca1738d0b64a87"/>
    <x:sheet xmlns:r="http://schemas.openxmlformats.org/officeDocument/2006/relationships" name="Programme Database" sheetId="2" r:id="Rd3edc35666fa4a33"/>
    <x:sheet xmlns:r="http://schemas.openxmlformats.org/officeDocument/2006/relationships" name="Provider Sources" sheetId="3" r:id="R38a5792b97024bf9"/>
    <x:sheet xmlns:r="http://schemas.openxmlformats.org/officeDocument/2006/relationships" name="Data Rules" sheetId="4" r:id="R2e1b9ea4a6324ac1"/>
    <x:sheet xmlns:r="http://schemas.openxmlformats.org/officeDocument/2006/relationships" name="QA Checks" sheetId="5" r:id="R245d3a157cbb4bff"/>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1"/>
      <x:color rgb="FF6A5300"/>
      <x:name val="Carlito"/>
    </x:font>
    <x:font>
      <x:b/>
      <x:sz val="11"/>
      <x:color rgb="FFFFFFFF"/>
      <x:name val="Carlito"/>
    </x:font>
    <x:font>
      <x:sz val="9"/>
      <x:color rgb="FF263238"/>
      <x:name val="Carlito"/>
    </x:font>
    <x:font>
      <x:sz val="9"/>
      <x:color rgb="FF0563C1"/>
      <x:name val="Carlito"/>
    </x:font>
    <x:font>
      <x:b/>
      <x:sz val="14"/>
      <x:color rgb="FF133C55"/>
      <x:name val="Carlito"/>
    </x:font>
    <x:font>
      <x:b/>
      <x:sz val="11"/>
      <x:name val="Carlito"/>
    </x:font>
    <x:font>
      <x:sz val="11"/>
      <x:color rgb="FF0563C1"/>
      <x:name val="Carlito"/>
    </x:font>
  </x:fonts>
  <x:fills count="7">
    <x:fill>
      <x:patternFill patternType="none"/>
    </x:fill>
    <x:fill>
      <x:patternFill patternType="gray125"/>
    </x:fill>
    <x:fill>
      <x:patternFill patternType="solid">
        <x:fgColor rgb="FF133C55"/>
      </x:patternFill>
    </x:fill>
    <x:fill>
      <x:patternFill patternType="solid">
        <x:fgColor rgb="FFFFF4D6"/>
      </x:patternFill>
    </x:fill>
    <x:fill>
      <x:patternFill patternType="solid">
        <x:fgColor rgb="FF176B87"/>
      </x:patternFill>
    </x:fill>
    <x:fill>
      <x:patternFill patternType="solid">
        <x:fgColor rgb="FFF8FBFC"/>
      </x:patternFill>
    </x:fill>
    <x:fill>
      <x:patternFill patternType="solid">
        <x:fgColor rgb="FFEAF4F7"/>
      </x:patternFill>
    </x:fill>
  </x:fills>
  <x:borders count="22">
    <x:border/>
    <x:border>
      <x:right style="thin">
        <x:color rgb="FFA8C4D1"/>
      </x:right>
    </x:border>
    <x:border>
      <x:left style="thin">
        <x:color rgb="FFA8C4D1"/>
      </x:left>
      <x:right style="thin">
        <x:color rgb="FFA8C4D1"/>
      </x:right>
    </x:border>
    <x:border>
      <x:left style="thin">
        <x:color rgb="FFA8C4D1"/>
      </x:left>
    </x:border>
    <x:border>
      <x:right style="thin">
        <x:color rgb="FFE6EDF1"/>
      </x:right>
      <x:bottom style="thin">
        <x:color rgb="FFE6EDF1"/>
      </x:bottom>
    </x:border>
    <x:border>
      <x:left style="thin">
        <x:color rgb="FFE6EDF1"/>
      </x:left>
      <x:right style="thin">
        <x:color rgb="FFE6EDF1"/>
      </x:right>
      <x:bottom style="thin">
        <x:color rgb="FFE6EDF1"/>
      </x:bottom>
    </x:border>
    <x:border>
      <x:left style="thin">
        <x:color rgb="FFE6EDF1"/>
      </x:left>
      <x:bottom style="thin">
        <x:color rgb="FFE6EDF1"/>
      </x:bottom>
    </x:border>
    <x:border>
      <x:right style="thin">
        <x:color rgb="FFE6EDF1"/>
      </x:right>
      <x:top style="thin">
        <x:color rgb="FFE6EDF1"/>
      </x:top>
      <x:bottom style="thin">
        <x:color rgb="FFE6EDF1"/>
      </x:bottom>
    </x:border>
    <x:border>
      <x:left style="thin">
        <x:color rgb="FFE6EDF1"/>
      </x:left>
      <x:right style="thin">
        <x:color rgb="FFE6EDF1"/>
      </x:right>
      <x:top style="thin">
        <x:color rgb="FFE6EDF1"/>
      </x:top>
      <x:bottom style="thin">
        <x:color rgb="FFE6EDF1"/>
      </x:bottom>
    </x:border>
    <x:border>
      <x:left style="thin">
        <x:color rgb="FFE6EDF1"/>
      </x:left>
      <x:top style="thin">
        <x:color rgb="FFE6EDF1"/>
      </x:top>
      <x:bottom style="thin">
        <x:color rgb="FFE6EDF1"/>
      </x:bottom>
    </x:border>
    <x:border>
      <x:right style="thin">
        <x:color rgb="FFE6EDF1"/>
      </x:right>
      <x:top style="thin">
        <x:color rgb="FFE6EDF1"/>
      </x:top>
    </x:border>
    <x:border>
      <x:left style="thin">
        <x:color rgb="FFE6EDF1"/>
      </x:left>
      <x:right style="thin">
        <x:color rgb="FFE6EDF1"/>
      </x:right>
      <x:top style="thin">
        <x:color rgb="FFE6EDF1"/>
      </x:top>
    </x:border>
    <x:border>
      <x:left style="thin">
        <x:color rgb="FFE6EDF1"/>
      </x:left>
      <x:top style="thin">
        <x:color rgb="FFE6EDF1"/>
      </x:top>
    </x:border>
    <x:border>
      <x:right style="thin">
        <x:color rgb="FFD9E2E8"/>
      </x:right>
      <x:bottom style="thin">
        <x:color rgb="FFD9E2E8"/>
      </x:bottom>
    </x:border>
    <x:border>
      <x:left style="thin">
        <x:color rgb="FFD9E2E8"/>
      </x:left>
      <x:right style="thin">
        <x:color rgb="FFD9E2E8"/>
      </x:right>
      <x:bottom style="thin">
        <x:color rgb="FFD9E2E8"/>
      </x:bottom>
    </x:border>
    <x:border>
      <x:left style="thin">
        <x:color rgb="FFD9E2E8"/>
      </x:left>
      <x:bottom style="thin">
        <x:color rgb="FFD9E2E8"/>
      </x:bottom>
    </x:border>
    <x:border>
      <x:right style="thin">
        <x:color rgb="FFD9E2E8"/>
      </x:right>
      <x:top style="thin">
        <x:color rgb="FFD9E2E8"/>
      </x:top>
      <x:bottom style="thin">
        <x:color rgb="FFD9E2E8"/>
      </x:bottom>
    </x:border>
    <x:border>
      <x:left style="thin">
        <x:color rgb="FFD9E2E8"/>
      </x:left>
      <x:right style="thin">
        <x:color rgb="FFD9E2E8"/>
      </x:right>
      <x:top style="thin">
        <x:color rgb="FFD9E2E8"/>
      </x:top>
      <x:bottom style="thin">
        <x:color rgb="FFD9E2E8"/>
      </x:bottom>
    </x:border>
    <x:border>
      <x:left style="thin">
        <x:color rgb="FFD9E2E8"/>
      </x:left>
      <x:top style="thin">
        <x:color rgb="FFD9E2E8"/>
      </x:top>
      <x:bottom style="thin">
        <x:color rgb="FFD9E2E8"/>
      </x:bottom>
    </x:border>
    <x:border>
      <x:right style="thin">
        <x:color rgb="FFD9E2E8"/>
      </x:right>
      <x:top style="thin">
        <x:color rgb="FFD9E2E8"/>
      </x:top>
    </x:border>
    <x:border>
      <x:left style="thin">
        <x:color rgb="FFD9E2E8"/>
      </x:left>
      <x:right style="thin">
        <x:color rgb="FFD9E2E8"/>
      </x:right>
      <x:top style="thin">
        <x:color rgb="FFD9E2E8"/>
      </x:top>
    </x:border>
    <x:border>
      <x:left style="thin">
        <x:color rgb="FFD9E2E8"/>
      </x:left>
      <x:top style="thin">
        <x:color rgb="FFD9E2E8"/>
      </x:top>
    </x:border>
  </x:borders>
  <x:cellStyleXfs count="1">
    <x:xf numFmtId="0" fontId="0" fillId="0" borderId="0"/>
  </x:cellStyleXfs>
  <x:cellXfs count="1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5" borderId="8"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5" borderId="11" xfId="0" applyNumberFormat="1" applyFont="1" applyFill="1" applyBorder="1" applyAlignment="1">
      <x:alignment vertical="top"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20" xfId="0" applyNumberFormat="1" applyFont="1" applyFill="1" applyBorder="1" applyAlignment="1">
      <x:alignment wrapText="1"/>
    </x:xf>
    <x:xf numFmtId="0" fontId="6" fillId="6" borderId="14" xfId="0" applyNumberFormat="1" applyFont="1" applyFill="1" applyBorder="1" applyAlignment="1">
      <x:alignment wrapText="1"/>
    </x:xf>
    <x:xf numFmtId="0" fontId="6" fillId="6" borderId="17" xfId="0" applyNumberFormat="1" applyFont="1" applyFill="1" applyBorder="1" applyAlignment="1">
      <x:alignment wrapText="1"/>
    </x:xf>
    <x:xf numFmtId="0" fontId="6" fillId="6" borderId="20" xfId="0" applyNumberFormat="1" applyFont="1" applyFill="1" applyBorder="1" applyAlignment="1">
      <x:alignment wrapText="1"/>
    </x:xf>
    <x:xf numFmtId="0" fontId="6" fillId="6" borderId="14" xfId="0" applyNumberFormat="1" applyFont="1" applyFill="1" applyBorder="1" applyAlignment="1">
      <x:alignment horizontal="center" wrapText="1"/>
    </x:xf>
    <x:xf numFmtId="0" fontId="6" fillId="6" borderId="17" xfId="0" applyNumberFormat="1" applyFont="1" applyFill="1" applyBorder="1" applyAlignment="1">
      <x:alignment horizontal="center" wrapText="1"/>
    </x:xf>
    <x:xf numFmtId="0" fontId="6" fillId="6" borderId="20" xfId="0" applyNumberFormat="1" applyFont="1" applyFill="1" applyBorder="1" applyAlignment="1">
      <x:alignment horizontal="center" wrapText="1"/>
    </x:xf>
    <x:xf numFmtId="0" fontId="0" fillId="0" borderId="13"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7" fillId="0" borderId="14" xfId="0" applyNumberFormat="1" applyFont="1" applyFill="1" applyBorder="1" applyAlignment="1">
      <x:alignment vertical="center" wrapText="1"/>
    </x:xf>
    <x:xf numFmtId="0" fontId="7" fillId="0" borderId="17" xfId="0" applyNumberFormat="1" applyFont="1" applyFill="1" applyBorder="1" applyAlignment="1">
      <x:alignment vertical="center" wrapText="1"/>
    </x:xf>
    <x:xf numFmtId="0" fontId="7" fillId="0" borderId="20" xfId="0" applyNumberFormat="1" applyFont="1" applyFill="1" applyBorder="1" applyAlignment="1">
      <x:alignment vertical="center" wrapText="1"/>
    </x:xf>
    <x:xf numFmtId="0" fontId="7" fillId="0" borderId="14" xfId="0" applyNumberFormat="1" applyFont="1" applyFill="1" applyBorder="1" applyAlignment="1">
      <x:alignment horizontal="center" vertical="center" wrapText="1"/>
    </x:xf>
    <x:xf numFmtId="0" fontId="7" fillId="0" borderId="17" xfId="0" applyNumberFormat="1" applyFont="1" applyFill="1" applyBorder="1" applyAlignment="1">
      <x:alignment horizontal="center" vertical="center" wrapText="1"/>
    </x:xf>
    <x:xf numFmtId="0" fontId="7" fillId="0" borderId="20"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7" xfId="0" applyNumberFormat="1" applyFont="1" applyFill="1" applyBorder="1" applyAlignment="1">
      <x:alignment vertical="top" wrapText="1"/>
    </x:xf>
    <x:xf numFmtId="0" fontId="8" fillId="0" borderId="20" xfId="0" applyNumberFormat="1" applyFont="1" applyFill="1" applyBorder="1" applyAlignment="1">
      <x:alignment vertical="top" wrapText="1"/>
    </x:xf>
  </x:cellXfs>
  <x:cellStyles count="1">
    <x:cellStyle name="Normal" xfId="0"/>
  </x:cellStyles>
  <x:dxfs count="7">
    <x:dxf>
      <x:font>
        <x:color rgb="FF7A5200"/>
      </x:font>
      <x:fill>
        <x:patternFill patternType="solid">
          <x:bgColor rgb="FFFFF4D6"/>
        </x:patternFill>
      </x:fill>
    </x:dxf>
    <x:dxf>
      <x:font>
        <x:color rgb="FF176B3A"/>
      </x:font>
      <x:fill>
        <x:patternFill patternType="solid">
          <x:bgColor rgb="FFEAF7F0"/>
        </x:patternFill>
      </x:fill>
    </x:dxf>
    <x:dxf>
      <x:font>
        <x:color rgb="FF7A5200"/>
      </x:font>
      <x:fill>
        <x:patternFill patternType="solid">
          <x:bgColor rgb="FFFFF4D6"/>
        </x:patternFill>
      </x:fill>
    </x:dxf>
    <x:dxf>
      <x:font>
        <x:i/>
        <x:color rgb="FF7A5200"/>
      </x:font>
      <x:fill>
        <x:patternFill patternType="solid">
          <x:bgColor rgb="FFFFF4D6"/>
        </x:patternFill>
      </x:fill>
    </x:dxf>
    <x:dxf>
      <x:font>
        <x:b/>
        <x:color rgb="FF9C2F26"/>
      </x:font>
      <x:fill>
        <x:patternFill patternType="solid">
          <x:bgColor rgb="FFFCE8E6"/>
        </x:patternFill>
      </x:fill>
    </x:dxf>
    <x:dxf>
      <x:font>
        <x:b/>
        <x:color rgb="FF176B3A"/>
      </x:font>
      <x:fill>
        <x:patternFill patternType="solid">
          <x:bgColor rgb="FFEAF7F0"/>
        </x:patternFill>
      </x:fill>
    </x:dxf>
    <x:dxf>
      <x:font>
        <x:b/>
        <x:color rgb="FF9C2F2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d98f8b4afa47d5" /><Relationship Type="http://schemas.openxmlformats.org/officeDocument/2006/relationships/theme" Target="/xl/theme/theme1.xml" Id="R925471e6f05c4ace" /><Relationship Type="http://schemas.openxmlformats.org/officeDocument/2006/relationships/sharedStrings" Target="/xl/sharedStrings.xml" Id="R53f1268fe80a4949" /><Relationship Type="http://schemas.openxmlformats.org/officeDocument/2006/relationships/worksheet" Target="/xl/worksheets/sheet1.xml" Id="Rd3ca1738d0b64a87" /><Relationship Type="http://schemas.openxmlformats.org/officeDocument/2006/relationships/worksheet" Target="/xl/worksheets/sheet2.xml" Id="Rd3edc35666fa4a33" /><Relationship Type="http://schemas.openxmlformats.org/officeDocument/2006/relationships/worksheet" Target="/xl/worksheets/sheet3.xml" Id="R38a5792b97024bf9" /><Relationship Type="http://schemas.openxmlformats.org/officeDocument/2006/relationships/worksheet" Target="/xl/worksheets/sheet4.xml" Id="R2e1b9ea4a6324ac1" /><Relationship Type="http://schemas.openxmlformats.org/officeDocument/2006/relationships/worksheet" Target="/xl/worksheets/sheet5.xml" Id="R245d3a157cbb4bff" /></Relationships>
</file>

<file path=xl/tables/table1.xml><?xml version="1.0" encoding="utf-8"?>
<x:table xmlns:x="http://schemas.openxmlformats.org/spreadsheetml/2006/main" id="1" name="ProgrammeDatabase" displayName="ProgrammeDatabase" ref="A4:AC282" headerRowCount="1" totalsRowCount="0" totalsRowShown="0">
  <x:autoFilter ref="A4:AC282"/>
  <x:tableColumns count="29">
    <x:tableColumn id="1" name="Provider Entity"/>
    <x:tableColumn id="2" name="Brand"/>
    <x:tableColumn id="3" name="Subject Area"/>
    <x:tableColumn id="4" name="Programme / Qualification"/>
    <x:tableColumn id="5" name="Major / Strand"/>
    <x:tableColumn id="6" name="NZQF Level"/>
    <x:tableColumn id="7" name="Qualification Type"/>
    <x:tableColumn id="8" name="Delivery"/>
    <x:tableColumn id="9" name="Student Visa Suitable"/>
    <x:tableColumn id="10" name="Campus / City"/>
    <x:tableColumn id="11" name="Duration"/>
    <x:tableColumn id="12" name="Remaining 2026 Intake(s)"/>
    <x:tableColumn id="13" name="Published 2027 Intake(s)"/>
    <x:tableColumn id="14" name="Tuition Fee (NZD)"/>
    <x:tableColumn id="15" name="Fee Basis"/>
    <x:tableColumn id="16" name="Fee Year"/>
    <x:tableColumn id="17" name="2027 Fee Status"/>
    <x:tableColumn id="18" name="Academic / Subject Prerequisites"/>
    <x:tableColumn id="19" name="English Requirement"/>
    <x:tableColumn id="20" name="Other Requirements"/>
    <x:tableColumn id="21" name="Scholarship / Study Grant"/>
    <x:tableColumn id="22" name="Programme URL"/>
    <x:tableColumn id="23" name="Secondary Verification Source"/>
    <x:tableColumn id="24" name="Verified Date"/>
    <x:tableColumn id="25" name="Verification Status"/>
    <x:tableColumn id="26" name="Notes"/>
    <x:tableColumn id="27" name="Projected 2027 Intake(s)"/>
    <x:tableColumn id="28" name="2027 Intake Basis"/>
    <x:tableColumn id="29" name="2027 Intake(s) for Planning"/>
  </x:tableColumns>
  <x:tableStyleInfo name="TableStyleMedium2" showFirstColumn="0" showLastColumn="0" showRowStripes="1" showColumnStripes="0"/>
</x:table>
</file>

<file path=xl/tables/table2.xml><?xml version="1.0" encoding="utf-8"?>
<x:table xmlns:x="http://schemas.openxmlformats.org/spreadsheetml/2006/main" id="2" name="ProviderSourceRegister" displayName="ProviderSourceRegister" ref="A4:G17" headerRowCount="1" totalsRowCount="0" totalsRowShown="0">
  <x:tableColumns count="7">
    <x:tableColumn id="1" name="Provider Entity"/>
    <x:tableColumn id="2" name="Brand"/>
    <x:tableColumn id="3" name="Verified Rows"/>
    <x:tableColumn id="4" name="Programme / Intake Source"/>
    <x:tableColumn id="5" name="Fee-Year Source"/>
    <x:tableColumn id="6" name="Official Website"/>
    <x:tableColumn id="7" name="Coverage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95de07eefa44ce0" /></Relationships>
</file>

<file path=xl/worksheets/_rels/sheet3.xml.rels>&#65279;<?xml version="1.0" encoding="utf-8"?><Relationships xmlns="http://schemas.openxmlformats.org/package/2006/relationships"><Relationship Type="http://schemas.openxmlformats.org/officeDocument/2006/relationships/table" Target="/xl/tables/table2.xml" Id="R78b802b8dd934c56"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24" hidden="0" customWidth="1"/>
    <x:col min="3" max="3" width="42" hidden="0" customWidth="1"/>
    <x:col min="4" max="4" width="42" hidden="0" customWidth="1"/>
  </x:cols>
  <x:sheetData>
    <x:row r="1" ht="30" customHeight="1">
      <x:c r="A1" s="4" t="str">
        <x:v>Sorena Visa — Verified Programme Coverage</x:v>
      </x:c>
      <x:c r="B1" s="4" t="str">
        <x:v>Sorena Visa — Verified Programme Coverage</x:v>
      </x:c>
      <x:c r="C1" s="4" t="str">
        <x:v>Sorena Visa — Verified Programme Coverage</x:v>
      </x:c>
      <x:c r="D1" s="4" t="str">
        <x:v>Sorena Visa — Verified Programme Coverage</x:v>
      </x:c>
    </x:row>
    <x:row r="2">
      <x:c r="A2" s="7" t="str">
        <x:v>Verified as at 29 July 2026. Open Polytechnic and online-only programmes are excluded. Published and projected 2027 intake dates are kept separate. A 2026 fee attached to a 2027 intake remains labelled 2026.</x:v>
      </x:c>
      <x:c r="B2" s="7"/>
      <x:c r="C2" s="7"/>
      <x:c r="D2" s="7"/>
    </x:row>
    <x:row r="4" ht="36" customHeight="1">
      <x:c r="A4" s="20" t="str">
        <x:v>Metric</x:v>
      </x:c>
      <x:c r="B4" s="21" t="str">
        <x:v>Value</x:v>
      </x:c>
      <x:c r="C4" s="21" t="str">
        <x:v>Definition</x:v>
      </x:c>
      <x:c r="D4" s="22" t="str">
        <x:v>Quality note</x:v>
      </x:c>
    </x:row>
    <x:row r="5" ht="30" customHeight="1">
      <x:c r="A5" s="70" t="str">
        <x:v>Verified programme rows</x:v>
      </x:c>
      <x:c r="B5" s="85" t="n">
        <x:f>COUNTA('Programme Database'!A5:A282)</x:f>
        <x:v>278</x:v>
      </x:c>
      <x:c r="C5" s="71" t="str">
        <x:v>Rows passing the programme-level filter</x:v>
      </x:c>
      <x:c r="D5" s="72" t="str">
        <x:v>Every row has two official source URLs</x:v>
      </x:c>
    </x:row>
    <x:row r="6" ht="30" customHeight="1">
      <x:c r="A6" s="73" t="str">
        <x:v>Brands with qualifying rows</x:v>
      </x:c>
      <x:c r="B6" s="86" t="n">
        <x:f>COUNTIF(B14:B26,"&gt;0")</x:f>
        <x:v>12</x:v>
      </x:c>
      <x:c r="C6" s="74" t="str">
        <x:v>MIT and Unitec shown as separate brands</x:v>
      </x:c>
      <x:c r="D6" s="75" t="str">
        <x:v>12 provider entities in the working scope</x:v>
      </x:c>
    </x:row>
    <x:row r="7" ht="30" customHeight="1">
      <x:c r="A7" s="73" t="str">
        <x:v>Rows with remaining 2026 start</x:v>
      </x:c>
      <x:c r="B7" s="86" t="n">
        <x:f>COUNTA('Programme Database'!L5:L282)</x:f>
        <x:v>35</x:v>
      </x:c>
      <x:c r="C7" s="74" t="str">
        <x:v>Start date is after 29 July 2026</x:v>
      </x:c>
      <x:c r="D7" s="75" t="str">
        <x:v>Already-started July occurrences are excluded</x:v>
      </x:c>
    </x:row>
    <x:row r="8" ht="30" customHeight="1">
      <x:c r="A8" s="73" t="str">
        <x:v>Rows with published 2027 start</x:v>
      </x:c>
      <x:c r="B8" s="86" t="n">
        <x:f>COUNTA('Programme Database'!M5:M282)</x:f>
        <x:v>260</x:v>
      </x:c>
      <x:c r="C8" s="74" t="str">
        <x:v>Provider has explicitly published a 2027 start</x:v>
      </x:c>
      <x:c r="D8" s="75" t="str">
        <x:v>A course ending in 2027 is not a 2027 intake</x:v>
      </x:c>
    </x:row>
    <x:row r="9" ht="30" customHeight="1">
      <x:c r="A9" s="73" t="str">
        <x:v>Rows using a 2026 fee</x:v>
      </x:c>
      <x:c r="B9" s="86" t="n">
        <x:f>COUNTIF('Programme Database'!P5:P282,"2026")</x:f>
        <x:v>278</x:v>
      </x:c>
      <x:c r="C9" s="74" t="str">
        <x:v>Fee year, not intake year</x:v>
      </x:c>
      <x:c r="D9" s="75" t="str">
        <x:v>2027 amounts are never inferred</x:v>
      </x:c>
    </x:row>
    <x:row r="10" ht="30" customHeight="1">
      <x:c r="A10" s="76" t="str">
        <x:v>Rows with projected 2027 start</x:v>
      </x:c>
      <x:c r="B10" s="87" t="n">
        <x:f>COUNTA('Programme Database'!AA5:AA282)</x:f>
        <x:v>18</x:v>
      </x:c>
      <x:c r="C10" s="77" t="str">
        <x:v>2027 planning date inferred from a 2026 start pattern</x:v>
      </x:c>
      <x:c r="D10" s="78" t="str">
        <x:v>Projection is not provider-confirmed and must be reconfirmed before application</x:v>
      </x:c>
    </x:row>
    <x:row r="11" ht="30" customHeight="1"/>
    <x:row r="12" ht="30" customHeight="1"/>
    <x:row r="13" ht="30" customHeight="1">
      <x:c r="A13" s="20" t="str">
        <x:v>Provider / Brand</x:v>
      </x:c>
      <x:c r="B13" s="21" t="str">
        <x:v>Verified rows</x:v>
      </x:c>
      <x:c r="C13" s="21" t="str">
        <x:v>Coverage outcome</x:v>
      </x:c>
      <x:c r="D13" s="22" t="str">
        <x:v>Entity note</x:v>
      </x:c>
    </x:row>
    <x:row r="14" ht="30" customHeight="1">
      <x:c r="A14" s="88" t="str">
        <x:v>Ara</x:v>
      </x:c>
      <x:c r="B14" s="100" t="n">
        <x:f>COUNTIF('Programme Database'!B5:B282,A14)</x:f>
        <x:v>77</x:v>
      </x:c>
      <x:c r="C14" s="89" t="str">
        <x:v>Qualifying rows exported</x:v>
      </x:c>
      <x:c r="D14" s="90" t="str">
        <x:v>Ara Institute of Canterbury</x:v>
      </x:c>
    </x:row>
    <x:row r="15" ht="30" customHeight="1">
      <x:c r="A15" s="91" t="str">
        <x:v>EIT</x:v>
      </x:c>
      <x:c r="B15" s="101" t="n">
        <x:f>COUNTIF('Programme Database'!B5:B282,A15)</x:f>
        <x:v>7</x:v>
      </x:c>
      <x:c r="C15" s="92" t="str">
        <x:v>Qualifying rows exported</x:v>
      </x:c>
      <x:c r="D15" s="93" t="str">
        <x:v>Eastern Institute of Technology</x:v>
      </x:c>
    </x:row>
    <x:row r="16" ht="30" customHeight="1">
      <x:c r="A16" s="91" t="str">
        <x:v>NMIT</x:v>
      </x:c>
      <x:c r="B16" s="101" t="n">
        <x:f>COUNTIF('Programme Database'!B5:B282,A16)</x:f>
        <x:v>28</x:v>
      </x:c>
      <x:c r="C16" s="92" t="str">
        <x:v>Qualifying rows exported</x:v>
      </x:c>
      <x:c r="D16" s="93" t="str">
        <x:v>Nelson Marlborough Institute of Technology</x:v>
      </x:c>
    </x:row>
    <x:row r="17" ht="30" customHeight="1">
      <x:c r="A17" s="91" t="str">
        <x:v>SIT</x:v>
      </x:c>
      <x:c r="B17" s="101" t="n">
        <x:f>COUNTIF('Programme Database'!B5:B282,A17)</x:f>
        <x:v>30</x:v>
      </x:c>
      <x:c r="C17" s="92" t="str">
        <x:v>Qualifying rows exported</x:v>
      </x:c>
      <x:c r="D17" s="93" t="str">
        <x:v>Southern Institute of Technology</x:v>
      </x:c>
    </x:row>
    <x:row r="18" ht="30" customHeight="1">
      <x:c r="A18" s="91" t="str">
        <x:v>Toi Ohomai</x:v>
      </x:c>
      <x:c r="B18" s="101" t="n">
        <x:f>COUNTIF('Programme Database'!B5:B282,A18)</x:f>
        <x:v>46</x:v>
      </x:c>
      <x:c r="C18" s="92" t="str">
        <x:v>Qualifying rows exported</x:v>
      </x:c>
      <x:c r="D18" s="93" t="str">
        <x:v>Toi Ohomai Institute of Technology</x:v>
      </x:c>
    </x:row>
    <x:row r="19" ht="30" customHeight="1">
      <x:c r="A19" s="91" t="str">
        <x:v>Wintec</x:v>
      </x:c>
      <x:c r="B19" s="101" t="n">
        <x:f>COUNTIF('Programme Database'!B5:B282,A19)</x:f>
        <x:v>55</x:v>
      </x:c>
      <x:c r="C19" s="92" t="str">
        <x:v>Qualifying rows exported</x:v>
      </x:c>
      <x:c r="D19" s="93" t="str">
        <x:v>Waikato Institute of Technology</x:v>
      </x:c>
    </x:row>
    <x:row r="20" ht="30" customHeight="1">
      <x:c r="A20" s="91" t="str">
        <x:v>MIT</x:v>
      </x:c>
      <x:c r="B20" s="101" t="n">
        <x:f>COUNTIF('Programme Database'!B5:B282,A20)</x:f>
        <x:v>2</x:v>
      </x:c>
      <x:c r="C20" s="92" t="str">
        <x:v>Qualifying rows exported</x:v>
      </x:c>
      <x:c r="D20" s="93" t="str">
        <x:v>Merged legal entity with Unitec</x:v>
      </x:c>
    </x:row>
    <x:row r="21" ht="30" customHeight="1">
      <x:c r="A21" s="91" t="str">
        <x:v>Unitec</x:v>
      </x:c>
      <x:c r="B21" s="101" t="n">
        <x:f>COUNTIF('Programme Database'!B5:B282,A21)</x:f>
        <x:v>3</x:v>
      </x:c>
      <x:c r="C21" s="92" t="str">
        <x:v>Qualifying rows exported</x:v>
      </x:c>
      <x:c r="D21" s="93" t="str">
        <x:v>Merged legal entity with MIT</x:v>
      </x:c>
    </x:row>
    <x:row r="22" ht="30" customHeight="1">
      <x:c r="A22" s="91" t="str">
        <x:v>Otago Polytechnic</x:v>
      </x:c>
      <x:c r="B22" s="101" t="n">
        <x:f>COUNTIF('Programme Database'!B5:B282,A22)</x:f>
        <x:v>7</x:v>
      </x:c>
      <x:c r="C22" s="92" t="str">
        <x:v>Qualifying rows exported</x:v>
      </x:c>
      <x:c r="D22" s="93" t="str">
        <x:v>Otago Polytechnic</x:v>
      </x:c>
    </x:row>
    <x:row r="23" ht="30" customHeight="1">
      <x:c r="A23" s="91" t="str">
        <x:v>UCOL</x:v>
      </x:c>
      <x:c r="B23" s="101" t="n">
        <x:f>COUNTIF('Programme Database'!B5:B282,A23)</x:f>
        <x:v>0</x:v>
      </x:c>
      <x:c r="C23" s="92" t="str">
        <x:v>No qualifying new start found after cutoff</x:v>
      </x:c>
      <x:c r="D23" s="93" t="str">
        <x:v>UCOL pages with July starts were already underway</x:v>
      </x:c>
    </x:row>
    <x:row r="24" ht="30" customHeight="1">
      <x:c r="A24" s="91" t="str">
        <x:v>NorthTec</x:v>
      </x:c>
      <x:c r="B24" s="101" t="n">
        <x:f>COUNTIF('Programme Database'!B5:B282,A24)</x:f>
        <x:v>8</x:v>
      </x:c>
      <x:c r="C24" s="92" t="str">
        <x:v>Qualifying rows exported</x:v>
      </x:c>
      <x:c r="D24" s="93" t="str">
        <x:v>Within NZIST during 2026</x:v>
      </x:c>
    </x:row>
    <x:row r="25" ht="30" customHeight="1">
      <x:c r="A25" s="91" t="str">
        <x:v>WITT</x:v>
      </x:c>
      <x:c r="B25" s="101" t="n">
        <x:f>COUNTIF('Programme Database'!B5:B282,A25)</x:f>
        <x:v>13</x:v>
      </x:c>
      <x:c r="C25" s="92" t="str">
        <x:v>Qualifying rows exported</x:v>
      </x:c>
      <x:c r="D25" s="93" t="str">
        <x:v>Within NZIST during 2026</x:v>
      </x:c>
    </x:row>
    <x:row r="26" ht="30" customHeight="1">
      <x:c r="A26" s="94" t="str">
        <x:v>Whitireia/WelTec</x:v>
      </x:c>
      <x:c r="B26" s="102" t="n">
        <x:f>COUNTIF('Programme Database'!B5:B282,A26)</x:f>
        <x:v>2</x:v>
      </x:c>
      <x:c r="C26" s="95" t="str">
        <x:v>Qualifying rows exported</x:v>
      </x:c>
      <x:c r="D26" s="96" t="str">
        <x:v>Within NZIST during 2026</x:v>
      </x:c>
    </x:row>
  </x:sheetData>
  <x:mergeCells>
    <x:mergeCell ref="A1:D1"/>
    <x:mergeCell ref="A2:D2"/>
  </x:mergeCells>
  <x:conditionalFormatting sqref="B14:B26">
    <x:cfRule type="cellIs" dxfId="4" priority="1" operator="equal">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18" hidden="0" customWidth="1"/>
    <x:col min="3" max="3" width="22" hidden="0" customWidth="1"/>
    <x:col min="4" max="4" width="42" hidden="0" customWidth="1"/>
    <x:col min="5" max="5" width="25" hidden="0" customWidth="1"/>
    <x:col min="6" max="6" width="10" hidden="0" customWidth="1"/>
    <x:col min="7" max="7" width="22" hidden="0" customWidth="1"/>
    <x:col min="8" max="8" width="30" hidden="0" customWidth="1"/>
    <x:col min="9" max="9" width="25" hidden="0" customWidth="1"/>
    <x:col min="10" max="10" width="24" hidden="0" customWidth="1"/>
    <x:col min="11" max="11" width="18" hidden="0" customWidth="1"/>
    <x:col min="12" max="12" width="22" hidden="0" customWidth="1"/>
    <x:col min="13" max="13" width="24" hidden="0" customWidth="1"/>
    <x:col min="14" max="14" width="26" hidden="0" customWidth="1"/>
    <x:col min="15" max="15" width="18" hidden="0" customWidth="1"/>
    <x:col min="16" max="16" width="13" hidden="0" customWidth="1"/>
    <x:col min="17" max="17" width="32" hidden="0" customWidth="1"/>
    <x:col min="18" max="18" width="48" hidden="0" customWidth="1"/>
    <x:col min="19" max="19" width="38" hidden="0" customWidth="1"/>
    <x:col min="20" max="20" width="30" hidden="0" customWidth="1"/>
    <x:col min="21" max="21" width="28" hidden="0" customWidth="1"/>
    <x:col min="22" max="22" width="55" hidden="0" customWidth="1"/>
    <x:col min="23" max="23" width="55" hidden="0" customWidth="1"/>
    <x:col min="24" max="24" width="14" hidden="0" customWidth="1"/>
    <x:col min="25" max="25" width="30" hidden="0" customWidth="1"/>
    <x:col min="26" max="26" width="48" hidden="0" customWidth="1"/>
    <x:col min="27" max="27" width="34" hidden="0" customWidth="1"/>
    <x:col min="28" max="28" width="36" hidden="0" customWidth="1"/>
    <x:col min="29" max="29" width="36" hidden="0" customWidth="1"/>
  </x:cols>
  <x:sheetData>
    <x:row r="1" ht="30" customHeight="1">
      <x:c r="A1" s="4" t="str">
        <x:v>International Polytechnic Programmes — New Zealand</x:v>
      </x:c>
      <x:c r="B1" s="4" t="str">
        <x:v>International Polytechnic Programmes — New Zealand</x:v>
      </x:c>
      <x:c r="C1" s="4" t="str">
        <x:v>International Polytechnic Programmes — New Zealand</x:v>
      </x:c>
      <x:c r="D1" s="4" t="str">
        <x:v>International Polytechnic Programmes — New Zealand</x:v>
      </x:c>
      <x:c r="E1" s="4" t="str">
        <x:v>International Polytechnic Programmes — New Zealand</x:v>
      </x:c>
      <x:c r="F1" s="4" t="str">
        <x:v>International Polytechnic Programmes — New Zealand</x:v>
      </x:c>
      <x:c r="G1" s="4" t="str">
        <x:v>International Polytechnic Programmes — New Zealand</x:v>
      </x:c>
      <x:c r="H1" s="4" t="str">
        <x:v>International Polytechnic Programmes — New Zealand</x:v>
      </x:c>
      <x:c r="I1" s="4" t="str">
        <x:v>International Polytechnic Programmes — New Zealand</x:v>
      </x:c>
      <x:c r="J1" s="4" t="str">
        <x:v>International Polytechnic Programmes — New Zealand</x:v>
      </x:c>
      <x:c r="K1" s="4" t="str">
        <x:v>International Polytechnic Programmes — New Zealand</x:v>
      </x:c>
      <x:c r="L1" s="4" t="str">
        <x:v>International Polytechnic Programmes — New Zealand</x:v>
      </x:c>
      <x:c r="M1" s="4" t="str">
        <x:v>International Polytechnic Programmes — New Zealand</x:v>
      </x:c>
      <x:c r="N1" s="4" t="str">
        <x:v>International Polytechnic Programmes — New Zealand</x:v>
      </x:c>
      <x:c r="O1" s="4" t="str">
        <x:v>International Polytechnic Programmes — New Zealand</x:v>
      </x:c>
      <x:c r="P1" s="4" t="str">
        <x:v>International Polytechnic Programmes — New Zealand</x:v>
      </x:c>
      <x:c r="Q1" s="4" t="str">
        <x:v>International Polytechnic Programmes — New Zealand</x:v>
      </x:c>
      <x:c r="R1" s="4" t="str">
        <x:v>International Polytechnic Programmes — New Zealand</x:v>
      </x:c>
      <x:c r="S1" s="4" t="str">
        <x:v>International Polytechnic Programmes — New Zealand</x:v>
      </x:c>
      <x:c r="T1" s="4" t="str">
        <x:v>International Polytechnic Programmes — New Zealand</x:v>
      </x:c>
      <x:c r="U1" s="4" t="str">
        <x:v>International Polytechnic Programmes — New Zealand</x:v>
      </x:c>
      <x:c r="V1" s="4" t="str">
        <x:v>International Polytechnic Programmes — New Zealand</x:v>
      </x:c>
      <x:c r="W1" s="4" t="str">
        <x:v>International Polytechnic Programmes — New Zealand</x:v>
      </x:c>
      <x:c r="X1" s="4" t="str">
        <x:v>International Polytechnic Programmes — New Zealand</x:v>
      </x:c>
      <x:c r="Y1" s="4" t="str">
        <x:v>International Polytechnic Programmes — New Zealand</x:v>
      </x:c>
      <x:c r="Z1" s="4" t="str">
        <x:v>International Polytechnic Programmes — New Zealand</x:v>
      </x:c>
      <x:c r="AA1" s="4" t="str">
        <x:v>International Polytechnic Programmes — New Zealand</x:v>
      </x:c>
      <x:c r="AB1" s="4" t="str">
        <x:v>International Polytechnic Programmes — New Zealand</x:v>
      </x:c>
      <x:c r="AC1" s="4" t="str">
        <x:v>International Polytechnic Programmes — New Zealand</x:v>
      </x:c>
    </x:row>
    <x:row r="2" ht="34" customHeight="1">
      <x:c r="A2" s="8" t="str">
        <x:v>Scope: NZQF Levels 4–9; international students studying physically in New Zealand; student-visa-capable programmes; remaining 2026 starts after 29 July 2026 plus published or clearly labelled projected 2027 starts. Fee year is recorded separately from intake year.</x:v>
      </x:c>
      <x:c r="B2" s="8"/>
      <x:c r="C2" s="8"/>
      <x:c r="D2" s="8"/>
      <x:c r="E2" s="8"/>
      <x:c r="F2" s="8"/>
      <x:c r="G2" s="8"/>
      <x:c r="H2" s="8"/>
      <x:c r="I2" s="8"/>
      <x:c r="J2" s="8"/>
      <x:c r="K2" s="8"/>
      <x:c r="L2" s="8"/>
      <x:c r="M2" s="8"/>
      <x:c r="N2" s="8"/>
      <x:c r="O2" s="8"/>
      <x:c r="P2" s="8"/>
      <x:c r="Q2" s="8"/>
      <x:c r="R2" s="8"/>
      <x:c r="S2" s="8"/>
      <x:c r="T2" s="8"/>
      <x:c r="U2" s="8"/>
      <x:c r="V2" s="8"/>
      <x:c r="W2" s="8"/>
      <x:c r="X2" s="8"/>
      <x:c r="Y2" s="8"/>
      <x:c r="Z2" s="8"/>
      <x:c r="AA2" s="8"/>
      <x:c r="AB2" s="8"/>
      <x:c r="AC2" s="8"/>
    </x:row>
    <x:row r="4" ht="36" customHeight="1">
      <x:c r="A4" s="20" t="str">
        <x:v>Provider Entity</x:v>
      </x:c>
      <x:c r="B4" s="21" t="str">
        <x:v>Brand</x:v>
      </x:c>
      <x:c r="C4" s="21" t="str">
        <x:v>Subject Area</x:v>
      </x:c>
      <x:c r="D4" s="21" t="str">
        <x:v>Programme / Qualification</x:v>
      </x:c>
      <x:c r="E4" s="21" t="str">
        <x:v>Major / Strand</x:v>
      </x:c>
      <x:c r="F4" s="21" t="str">
        <x:v>NZQF Level</x:v>
      </x:c>
      <x:c r="G4" s="21" t="str">
        <x:v>Qualification Type</x:v>
      </x:c>
      <x:c r="H4" s="21" t="str">
        <x:v>Delivery</x:v>
      </x:c>
      <x:c r="I4" s="21" t="str">
        <x:v>Student Visa Suitable</x:v>
      </x:c>
      <x:c r="J4" s="21" t="str">
        <x:v>Campus / City</x:v>
      </x:c>
      <x:c r="K4" s="21" t="str">
        <x:v>Duration</x:v>
      </x:c>
      <x:c r="L4" s="21" t="str">
        <x:v>Remaining 2026 Intake(s)</x:v>
      </x:c>
      <x:c r="M4" s="21" t="str">
        <x:v>Published 2027 Intake(s)</x:v>
      </x:c>
      <x:c r="N4" s="21" t="str">
        <x:v>Tuition Fee (NZD)</x:v>
      </x:c>
      <x:c r="O4" s="21" t="str">
        <x:v>Fee Basis</x:v>
      </x:c>
      <x:c r="P4" s="21" t="str">
        <x:v>Fee Year</x:v>
      </x:c>
      <x:c r="Q4" s="21" t="str">
        <x:v>2027 Fee Status</x:v>
      </x:c>
      <x:c r="R4" s="21" t="str">
        <x:v>Academic / Subject Prerequisites</x:v>
      </x:c>
      <x:c r="S4" s="21" t="str">
        <x:v>English Requirement</x:v>
      </x:c>
      <x:c r="T4" s="21" t="str">
        <x:v>Other Requirements</x:v>
      </x:c>
      <x:c r="U4" s="21" t="str">
        <x:v>Scholarship / Study Grant</x:v>
      </x:c>
      <x:c r="V4" s="21" t="str">
        <x:v>Programme URL</x:v>
      </x:c>
      <x:c r="W4" s="21" t="str">
        <x:v>Secondary Verification Source</x:v>
      </x:c>
      <x:c r="X4" s="21" t="str">
        <x:v>Verified Date</x:v>
      </x:c>
      <x:c r="Y4" s="21" t="str">
        <x:v>Verification Status</x:v>
      </x:c>
      <x:c r="Z4" s="21" t="str">
        <x:v>Notes</x:v>
      </x:c>
      <x:c r="AA4" s="21" t="str">
        <x:v>Projected 2027 Intake(s)</x:v>
      </x:c>
      <x:c r="AB4" s="21" t="str">
        <x:v>2027 Intake Basis</x:v>
      </x:c>
      <x:c r="AC4" s="22" t="str">
        <x:v>2027 Intake(s) for Planning</x:v>
      </x:c>
    </x:row>
    <x:row r="5" ht="48" customHeight="1">
      <x:c r="A5" s="42" t="str">
        <x:v>Ara Institute of Canterbury</x:v>
      </x:c>
      <x:c r="B5" s="43" t="str">
        <x:v>Ara</x:v>
      </x:c>
      <x:c r="C5" s="43" t="str">
        <x:v>Beauty &amp; Hair</x:v>
      </x:c>
      <x:c r="D5" s="43" t="str">
        <x:v>New Zealand Diploma in Beauty Therapy</x:v>
      </x:c>
      <x:c r="E5" s="43"/>
      <x:c r="F5" s="43" t="n">
        <x:v>5</x:v>
      </x:c>
      <x:c r="G5" s="43" t="str">
        <x:v>Diploma</x:v>
      </x:c>
      <x:c r="H5" s="43" t="str">
        <x:v>On campus / in-person (may include blended components)</x:v>
      </x:c>
      <x:c r="I5" s="43" t="str">
        <x:v>Yes — provider publishes international/on-campus availability</x:v>
      </x:c>
      <x:c r="J5" s="43" t="str">
        <x:v>Madras Street Campus</x:v>
      </x:c>
      <x:c r="K5" s="43" t="str">
        <x:v>1 Year</x:v>
      </x:c>
      <x:c r="L5" s="43"/>
      <x:c r="M5" s="43" t="str">
        <x:v>22 February 2027</x:v>
      </x:c>
      <x:c r="N5" s="43" t="str">
        <x:v>$26,572 per year</x:v>
      </x:c>
      <x:c r="O5" s="43" t="str">
        <x:v>per year</x:v>
      </x:c>
      <x:c r="P5" s="43" t="str">
        <x:v>2026</x:v>
      </x:c>
      <x:c r="Q5" s="43" t="str">
        <x:v>Not published; 2026 fee shown only</x:v>
      </x:c>
      <x:c r="R5" s="43" t="str">
        <x:v>New Zealand Certificate in Beauty Therapy (Level 4) or equivalent skills and knowledge, experience, and/or qualifications.</x:v>
      </x:c>
      <x:c r="S5" s="43"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 s="43"/>
      <x:c r="U5" s="43" t="str">
        <x:v>Ara funding assistance page; no automatic international award confirmed unless stated on the programme page.</x:v>
      </x:c>
      <x:c r="V5" s="57" t="str">
        <x:v>https://www.ara.ac.nz/products/programme/nz3445-stru-new-zealand-diploma-in-beauty-therapy/</x:v>
      </x:c>
      <x:c r="W5" s="57" t="str">
        <x:v>https://search.ara.ac.nz/siteassets/documents---home/study/priority-learning-groups/international-students/international-brochures--study-guide/international-prospectus-2026.pdf</x:v>
      </x:c>
      <x:c r="X5" s="43" t="str">
        <x:v>2026-07-29</x:v>
      </x:c>
      <x:c r="Y5" s="43" t="str">
        <x:v>Double-checked: live programme page + official international source</x:v>
      </x:c>
      <x:c r="Z5" s="43" t="str">
        <x:v>Live page explicitly states the programme may be available for a Study Visa. 2027 fee not inferred from 2026.</x:v>
      </x:c>
      <x:c r="AA5" s="43"/>
      <x:c r="AB5" s="43" t="str">
        <x:v>Published by provider</x:v>
      </x:c>
      <x:c r="AC5" s="44" t="str">
        <x:v>22 February 2027</x:v>
      </x:c>
    </x:row>
    <x:row r="6" ht="48" customHeight="1">
      <x:c r="A6" s="51" t="str">
        <x:v>Ara Institute of Canterbury</x:v>
      </x:c>
      <x:c r="B6" s="52" t="str">
        <x:v>Ara</x:v>
      </x:c>
      <x:c r="C6" s="52" t="str">
        <x:v>Beauty &amp; Hair</x:v>
      </x:c>
      <x:c r="D6" s="52" t="str">
        <x:v>New Zealand Certificate in Beauty Therapy</x:v>
      </x:c>
      <x:c r="E6" s="52"/>
      <x:c r="F6" s="52" t="n">
        <x:v>4</x:v>
      </x:c>
      <x:c r="G6" s="52" t="str">
        <x:v>Certificate</x:v>
      </x:c>
      <x:c r="H6" s="52" t="str">
        <x:v>On campus / in-person (may include blended components)</x:v>
      </x:c>
      <x:c r="I6" s="52" t="str">
        <x:v>Yes — provider publishes international/on-campus availability</x:v>
      </x:c>
      <x:c r="J6" s="52" t="str">
        <x:v>Madras Street Campus; Timaru Campus</x:v>
      </x:c>
      <x:c r="K6" s="52" t="str">
        <x:v>1 Year</x:v>
      </x:c>
      <x:c r="L6" s="52"/>
      <x:c r="M6" s="52" t="str">
        <x:v>22 February 2027; 19 July 2027</x:v>
      </x:c>
      <x:c r="N6" s="52" t="str">
        <x:v>$26,572 per year</x:v>
      </x:c>
      <x:c r="O6" s="52" t="str">
        <x:v>per year</x:v>
      </x:c>
      <x:c r="P6" s="52" t="str">
        <x:v>2026</x:v>
      </x:c>
      <x:c r="Q6" s="52" t="str">
        <x:v>Not published; 2026 fee shown only</x:v>
      </x:c>
      <x:c r="R6" s="52" t="str">
        <x:v>10 NCEA Level 1 literacy creditsNCEA Level 1 (80 credits at Level 1, including 10 Literacy credits and 10 Numeracy credits)If you have undertaken examinations other than NCEA (e.g. International Baccalaureate, Cambridge Examination), Ara will assess your qualification for academic entry equivalency.</x:v>
      </x:c>
      <x:c r="S6" s="52" t="str">
        <x:v>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must be taken from a single IELTS Test Repo</x:v>
      </x:c>
      <x:c r="T6" s="52"/>
      <x:c r="U6" s="52" t="str">
        <x:v>Ara funding assistance page; no automatic international award confirmed unless stated on the programme page.</x:v>
      </x:c>
      <x:c r="V6" s="58" t="str">
        <x:v>https://www.ara.ac.nz/products/programme/nz3444-stru-new-zealand-certificate-in-beauty-therapy-level-4/</x:v>
      </x:c>
      <x:c r="W6" s="58" t="str">
        <x:v>https://search.ara.ac.nz/siteassets/documents---home/study/priority-learning-groups/international-students/international-brochures--study-guide/international-prospectus-2026.pdf</x:v>
      </x:c>
      <x:c r="X6" s="52" t="str">
        <x:v>2026-07-29</x:v>
      </x:c>
      <x:c r="Y6" s="52" t="str">
        <x:v>Double-checked: live programme page + official international source</x:v>
      </x:c>
      <x:c r="Z6" s="52" t="str">
        <x:v>Live page explicitly states the programme may be available for a Study Visa. 2027 fee not inferred from 2026.</x:v>
      </x:c>
      <x:c r="AA6" s="52"/>
      <x:c r="AB6" s="52" t="str">
        <x:v>Published by provider</x:v>
      </x:c>
      <x:c r="AC6" s="53" t="str">
        <x:v>22 February 2027; 19 July 2027</x:v>
      </x:c>
    </x:row>
    <x:row r="7" ht="48" customHeight="1">
      <x:c r="A7" s="45" t="str">
        <x:v>Ara Institute of Canterbury</x:v>
      </x:c>
      <x:c r="B7" s="46" t="str">
        <x:v>Ara</x:v>
      </x:c>
      <x:c r="C7" s="46" t="str">
        <x:v>Beauty &amp; Hair</x:v>
      </x:c>
      <x:c r="D7" s="46" t="str">
        <x:v>New Zealand Certificate in Commercial Barbering</x:v>
      </x:c>
      <x:c r="E7" s="46"/>
      <x:c r="F7" s="46" t="n">
        <x:v>4</x:v>
      </x:c>
      <x:c r="G7" s="46" t="str">
        <x:v>Certificate</x:v>
      </x:c>
      <x:c r="H7" s="46" t="str">
        <x:v>On campus / in-person (may include blended components)</x:v>
      </x:c>
      <x:c r="I7" s="46" t="str">
        <x:v>Yes — provider publishes international/on-campus availability</x:v>
      </x:c>
      <x:c r="J7" s="46" t="str">
        <x:v>Madras Street Campus</x:v>
      </x:c>
      <x:c r="K7" s="46" t="str">
        <x:v>1 Year</x:v>
      </x:c>
      <x:c r="L7" s="46"/>
      <x:c r="M7" s="46" t="str">
        <x:v>15 February 2027</x:v>
      </x:c>
      <x:c r="N7" s="46" t="str">
        <x:v>$13,286 per 60 credits or $26,572 per 120 credits (programme dependent)</x:v>
      </x:c>
      <x:c r="O7" s="46" t="str">
        <x:v>See 2026 prospectus; programme dependent</x:v>
      </x:c>
      <x:c r="P7" s="46" t="str">
        <x:v>2026</x:v>
      </x:c>
      <x:c r="Q7" s="46" t="str">
        <x:v>Not published; 2026 fee shown only</x:v>
      </x:c>
      <x:c r="R7" s="46" t="str">
        <x:v>40 credits at NCEA Level 1, including 10 Literacy credits and 10 Numeracy credits; or a recognised equivalent;OR a relevant qualification at NZQF Level 2 or above;OR a recognised equivalent qualificationIf you have undertaken examinations other than NCEA (e.g. International Baccalaureate, Cambridge Examination), Ara will assess your qualification for academic entry equivalency.</x:v>
      </x:c>
      <x:c r="S7"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 s="46"/>
      <x:c r="U7" s="46" t="str">
        <x:v>Ara funding assistance page; no automatic international award confirmed unless stated on the programme page.</x:v>
      </x:c>
      <x:c r="V7" s="59" t="str">
        <x:v>https://www.ara.ac.nz/products/programme/nz2115-stru-new-zealand-certificate-in-commercial-barbering/</x:v>
      </x:c>
      <x:c r="W7" s="59" t="str">
        <x:v>https://search.ara.ac.nz/siteassets/documents---home/study/priority-learning-groups/international-students/international-brochures--study-guide/international-prospectus-2026.pdf</x:v>
      </x:c>
      <x:c r="X7" s="46" t="str">
        <x:v>2026-07-29</x:v>
      </x:c>
      <x:c r="Y7" s="46" t="str">
        <x:v>Double-checked: live programme page + official international source</x:v>
      </x:c>
      <x:c r="Z7" s="46" t="str">
        <x:v>Live page explicitly states the programme may be available for a Study Visa. 2027 fee not inferred from 2026.</x:v>
      </x:c>
      <x:c r="AA7" s="46"/>
      <x:c r="AB7" s="46" t="str">
        <x:v>Published by provider</x:v>
      </x:c>
      <x:c r="AC7" s="47" t="str">
        <x:v>15 February 2027</x:v>
      </x:c>
    </x:row>
    <x:row r="8" ht="48" customHeight="1">
      <x:c r="A8" s="51" t="str">
        <x:v>Ara Institute of Canterbury</x:v>
      </x:c>
      <x:c r="B8" s="52" t="str">
        <x:v>Ara</x:v>
      </x:c>
      <x:c r="C8" s="52" t="str">
        <x:v>Beauty &amp; Hair</x:v>
      </x:c>
      <x:c r="D8" s="52" t="str">
        <x:v>New Zealand Certificate in Hairdressing (Professional Stylist) (Level 4)</x:v>
      </x:c>
      <x:c r="E8" s="52"/>
      <x:c r="F8" s="52" t="n">
        <x:v>4</x:v>
      </x:c>
      <x:c r="G8" s="52" t="str">
        <x:v>Certificate</x:v>
      </x:c>
      <x:c r="H8" s="52" t="str">
        <x:v>On campus / in-person (may include blended components)</x:v>
      </x:c>
      <x:c r="I8" s="52" t="str">
        <x:v>Yes — provider publishes international/on-campus availability</x:v>
      </x:c>
      <x:c r="J8" s="52" t="str">
        <x:v>Madras Street Campus</x:v>
      </x:c>
      <x:c r="K8" s="52" t="str">
        <x:v>1 Year</x:v>
      </x:c>
      <x:c r="L8" s="52"/>
      <x:c r="M8" s="52" t="str">
        <x:v>22 February 2027</x:v>
      </x:c>
      <x:c r="N8" s="52" t="str">
        <x:v>$13,286 per 60 credits or $26,572 per 120 credits (programme dependent)</x:v>
      </x:c>
      <x:c r="O8" s="52" t="str">
        <x:v>See 2026 prospectus; programme dependent</x:v>
      </x:c>
      <x:c r="P8" s="52" t="str">
        <x:v>2026</x:v>
      </x:c>
      <x:c r="Q8" s="52" t="str">
        <x:v>Not published; 2026 fee shown only</x:v>
      </x:c>
      <x:c r="R8" s="52" t="str">
        <x:v>New Zealand Certificate in Hairdressing (Level 3) or an equivalent qualification.</x:v>
      </x:c>
      <x:c r="S8" s="52" t="str">
        <x:v>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test.What if I have achieved NCEA Level 3 University Entrance?You do not need to provide additional evidence of English Language skills.Overal</x:v>
      </x:c>
      <x:c r="T8" s="52"/>
      <x:c r="U8" s="52" t="str">
        <x:v>Ara funding assistance page; no automatic international award confirmed unless stated on the programme page.</x:v>
      </x:c>
      <x:c r="V8" s="58" t="str">
        <x:v>https://www.ara.ac.nz/products/programme/nz2413-stru-new-zealand-certificate-in-hairdressing-professional-stylist-level-4/</x:v>
      </x:c>
      <x:c r="W8" s="58" t="str">
        <x:v>https://search.ara.ac.nz/siteassets/documents---home/study/priority-learning-groups/international-students/international-brochures--study-guide/international-prospectus-2026.pdf</x:v>
      </x:c>
      <x:c r="X8" s="52" t="str">
        <x:v>2026-07-29</x:v>
      </x:c>
      <x:c r="Y8" s="52" t="str">
        <x:v>Double-checked: live programme page + official international source</x:v>
      </x:c>
      <x:c r="Z8" s="52" t="str">
        <x:v>Live page explicitly states the programme may be available for a Study Visa. 2027 fee not inferred from 2026.</x:v>
      </x:c>
      <x:c r="AA8" s="52"/>
      <x:c r="AB8" s="52" t="str">
        <x:v>Published by provider</x:v>
      </x:c>
      <x:c r="AC8" s="53" t="str">
        <x:v>22 February 2027</x:v>
      </x:c>
    </x:row>
    <x:row r="9" ht="48" customHeight="1">
      <x:c r="A9" s="45" t="str">
        <x:v>Ara Institute of Canterbury</x:v>
      </x:c>
      <x:c r="B9" s="46" t="str">
        <x:v>Ara</x:v>
      </x:c>
      <x:c r="C9" s="46" t="str">
        <x:v>Business &amp; Management</x:v>
      </x:c>
      <x:c r="D9" s="46" t="str">
        <x:v>Postgraduate Certificate in Applied Management</x:v>
      </x:c>
      <x:c r="E9" s="46"/>
      <x:c r="F9" s="46" t="n">
        <x:v>8</x:v>
      </x:c>
      <x:c r="G9" s="46" t="str">
        <x:v>Postgraduate Certificate</x:v>
      </x:c>
      <x:c r="H9" s="46" t="str">
        <x:v>On campus / in-person (may include blended components)</x:v>
      </x:c>
      <x:c r="I9" s="46" t="str">
        <x:v>Yes — provider publishes international/on-campus availability</x:v>
      </x:c>
      <x:c r="J9" s="46" t="str">
        <x:v>Madras Street Campus</x:v>
      </x:c>
      <x:c r="K9" s="46" t="str">
        <x:v>26 Weeks (part-time options available)</x:v>
      </x:c>
      <x:c r="L9" s="46" t="str">
        <x:v>05 October 2026</x:v>
      </x:c>
      <x:c r="M9" s="46" t="str">
        <x:v>26 April 2027; 19 July 2027; 04 October 2027</x:v>
      </x:c>
      <x:c r="N9" s="46" t="str">
        <x:v>$29,229 per year</x:v>
      </x:c>
      <x:c r="O9" s="46" t="str">
        <x:v>See 2026 prospectus; programme dependent</x:v>
      </x:c>
      <x:c r="P9" s="46" t="str">
        <x:v>2026</x:v>
      </x:c>
      <x:c r="Q9" s="46" t="str">
        <x:v>Not published; 2026 fee shown only</x:v>
      </x:c>
      <x:c r="R9" s="46" t="str">
        <x:v>An NZQF-listed undergraduate degree (or equivalent) in Business or ManagementAn undergraduate degree in a related field with a minimum of the equivalent to a B average (as per the Ara-specified 11-point achievement-based grading system), subject to assessment by the programme coordinator.</x:v>
      </x:c>
      <x:c r="S9" s="46" t="str">
        <x:v>If English is not your first language, we want to make sure that you will be successful in your chosen programme of study.Please provide a result from a test or qualification on the acceptable alternativesEnglish Proficiency Outcomes Chart.IELTS scores used must be taken from a single IELTS Test Report Form and are valid for two years from the date of the test.Completion of a New Zealand Certificate in English Language (Level 5 with any endorsement)Overall IELTS 6.5 Academic6.0 Listening6.0 Reading6.0 Writing6.0 Speaking</x:v>
      </x:c>
      <x:c r="T9" s="46"/>
      <x:c r="U9" s="46" t="str">
        <x:v>Ara funding assistance page; no automatic international award confirmed unless stated on the programme page.</x:v>
      </x:c>
      <x:c r="V9" s="59" t="str">
        <x:v>https://www.ara.ac.nz/products/programme/hb4041-stru-postgraduate-certificate-in-applied-management/</x:v>
      </x:c>
      <x:c r="W9" s="59" t="str">
        <x:v>https://search.ara.ac.nz/siteassets/documents---home/study/priority-learning-groups/international-students/international-brochures--study-guide/international-prospectus-2026.pdf</x:v>
      </x:c>
      <x:c r="X9" s="46" t="str">
        <x:v>2026-07-29</x:v>
      </x:c>
      <x:c r="Y9" s="46" t="str">
        <x:v>Double-checked: live programme page + official international source</x:v>
      </x:c>
      <x:c r="Z9" s="46" t="str">
        <x:v>Live page explicitly states the programme may be available for a Study Visa. 2027 fee not inferred from 2026.</x:v>
      </x:c>
      <x:c r="AA9" s="46"/>
      <x:c r="AB9" s="46" t="str">
        <x:v>Published by provider</x:v>
      </x:c>
      <x:c r="AC9" s="47" t="str">
        <x:v>26 April 2027; 19 July 2027; 04 October 2027</x:v>
      </x:c>
    </x:row>
    <x:row r="10" ht="48" customHeight="1">
      <x:c r="A10" s="51" t="str">
        <x:v>Ara Institute of Canterbury</x:v>
      </x:c>
      <x:c r="B10" s="52" t="str">
        <x:v>Ara</x:v>
      </x:c>
      <x:c r="C10" s="52" t="str">
        <x:v>Business &amp; Management</x:v>
      </x:c>
      <x:c r="D10" s="52" t="str">
        <x:v>Postgraduate Diploma in Applied Management</x:v>
      </x:c>
      <x:c r="E10" s="52"/>
      <x:c r="F10" s="52" t="n">
        <x:v>8</x:v>
      </x:c>
      <x:c r="G10" s="52" t="str">
        <x:v>Postgraduate Diploma</x:v>
      </x:c>
      <x:c r="H10" s="52" t="str">
        <x:v>On campus / in-person (may include blended components)</x:v>
      </x:c>
      <x:c r="I10" s="52" t="str">
        <x:v>Yes — provider publishes international/on-campus availability</x:v>
      </x:c>
      <x:c r="J10" s="52" t="str">
        <x:v>Madras Street Campus</x:v>
      </x:c>
      <x:c r="K10" s="52" t="str">
        <x:v>1 Year (part-time options available)</x:v>
      </x:c>
      <x:c r="L10" s="52" t="str">
        <x:v>05 October 2026</x:v>
      </x:c>
      <x:c r="M10" s="52" t="str">
        <x:v>08 February 2027; 26 April 2027; 19 July 2027; 04 October 2027</x:v>
      </x:c>
      <x:c r="N10" s="52" t="str">
        <x:v>$29,229 per year</x:v>
      </x:c>
      <x:c r="O10" s="52" t="str">
        <x:v>See 2026 prospectus; programme dependent</x:v>
      </x:c>
      <x:c r="P10" s="52" t="str">
        <x:v>2026</x:v>
      </x:c>
      <x:c r="Q10" s="52" t="str">
        <x:v>Not published; 2026 fee shown only</x:v>
      </x:c>
      <x:c r="R10" s="52" t="str">
        <x:v>An NZQF-listed undergraduate degree (or equivalent) in Business or ManagementAn undergraduate degree in a related field with a minimum of the equivalent to a B average (as per the Ara-specified 11-point achievement-based grading system), subject to assessment by the programme coordinator.</x:v>
      </x:c>
      <x:c r="S10" s="52" t="str">
        <x:v>If English is not your first language, we want to make sure that you will be successful in your chosen programme of study.Please provide a result from a test or qualification on the acceptable alternativesEnglish Proficiency Outcomes Chart.IELTS scores used must be taken from a single IELTS Test Report Form and are valid for two years from the date of the test.Completion of a New Zealand Certificate in English Language (Level 5 with any endorsement)Overall IELTS 6.5 Academic6.0 Listening6.0 Reading6.0 Writing6.0 Speaking</x:v>
      </x:c>
      <x:c r="T10" s="52"/>
      <x:c r="U10" s="52" t="str">
        <x:v>Ara funding assistance page; no automatic international award confirmed unless stated on the programme page.</x:v>
      </x:c>
      <x:c r="V10" s="58" t="str">
        <x:v>https://www.ara.ac.nz/products/programme/hb4036-stru-postgraduate-diploma-in-applied-management/</x:v>
      </x:c>
      <x:c r="W10" s="58" t="str">
        <x:v>https://search.ara.ac.nz/siteassets/documents---home/study/priority-learning-groups/international-students/international-brochures--study-guide/international-prospectus-2026.pdf</x:v>
      </x:c>
      <x:c r="X10" s="52" t="str">
        <x:v>2026-07-29</x:v>
      </x:c>
      <x:c r="Y10" s="52" t="str">
        <x:v>Double-checked: live programme page + official international source</x:v>
      </x:c>
      <x:c r="Z10" s="52" t="str">
        <x:v>Live page explicitly states the programme may be available for a Study Visa. 2027 fee not inferred from 2026.</x:v>
      </x:c>
      <x:c r="AA10" s="52"/>
      <x:c r="AB10" s="52" t="str">
        <x:v>Published by provider</x:v>
      </x:c>
      <x:c r="AC10" s="53" t="str">
        <x:v>08 February 2027; 26 April 2027; 19 July 2027; 04 October 2027</x:v>
      </x:c>
    </x:row>
    <x:row r="11" ht="48" customHeight="1">
      <x:c r="A11" s="45" t="str">
        <x:v>Ara Institute of Canterbury</x:v>
      </x:c>
      <x:c r="B11" s="46" t="str">
        <x:v>Ara</x:v>
      </x:c>
      <x:c r="C11" s="46" t="str">
        <x:v>Business &amp; Management</x:v>
      </x:c>
      <x:c r="D11" s="46" t="str">
        <x:v>Bachelor of Applied Management</x:v>
      </x:c>
      <x:c r="E11" s="46"/>
      <x:c r="F11" s="46" t="n">
        <x:v>7</x:v>
      </x:c>
      <x:c r="G11" s="46" t="str">
        <x:v>Bachelor's Degree</x:v>
      </x:c>
      <x:c r="H11" s="46" t="str">
        <x:v>On campus / in-person (may include blended components)</x:v>
      </x:c>
      <x:c r="I11" s="46" t="str">
        <x:v>Yes — provider publishes international/on-campus availability</x:v>
      </x:c>
      <x:c r="J11" s="46" t="str">
        <x:v>Madras Street Campus</x:v>
      </x:c>
      <x:c r="K11" s="46" t="str">
        <x:v>3 Years (part-time options available)</x:v>
      </x:c>
      <x:c r="L11" s="46"/>
      <x:c r="M11" s="46" t="str">
        <x:v>15 February 2027</x:v>
      </x:c>
      <x:c r="N11" s="46" t="str">
        <x:v>$26,572 per year</x:v>
      </x:c>
      <x:c r="O11" s="46" t="str">
        <x:v>per year</x:v>
      </x:c>
      <x:c r="P11" s="46" t="str">
        <x:v>2026</x:v>
      </x:c>
      <x:c r="Q11" s="46" t="str">
        <x:v>Not published; 2026 fee shown only</x:v>
      </x:c>
      <x:c r="R11" s="46"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1"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1" s="46"/>
      <x:c r="U11" s="46" t="str">
        <x:v>Ara funding assistance page; no automatic international award confirmed unless stated on the programme page.</x:v>
      </x:c>
      <x:c r="V11" s="59" t="str">
        <x:v>https://www.ara.ac.nz/products/programme/ch3988-genr-bachelor-of-applied-management/</x:v>
      </x:c>
      <x:c r="W11" s="59" t="str">
        <x:v>https://search.ara.ac.nz/siteassets/documents---home/study/priority-learning-groups/international-students/international-brochures--study-guide/international-prospectus-2026.pdf</x:v>
      </x:c>
      <x:c r="X11" s="46" t="str">
        <x:v>2026-07-29</x:v>
      </x:c>
      <x:c r="Y11" s="46" t="str">
        <x:v>Double-checked: live programme page + official international source</x:v>
      </x:c>
      <x:c r="Z11" s="46" t="str">
        <x:v>Live page explicitly states the programme may be available for a Study Visa. 2027 fee not inferred from 2026.</x:v>
      </x:c>
      <x:c r="AA11" s="46"/>
      <x:c r="AB11" s="46" t="str">
        <x:v>Published by provider</x:v>
      </x:c>
      <x:c r="AC11" s="47" t="str">
        <x:v>15 February 2027</x:v>
      </x:c>
    </x:row>
    <x:row r="12" ht="48" customHeight="1">
      <x:c r="A12" s="51" t="str">
        <x:v>Ara Institute of Canterbury</x:v>
      </x:c>
      <x:c r="B12" s="52" t="str">
        <x:v>Ara</x:v>
      </x:c>
      <x:c r="C12" s="52" t="str">
        <x:v>Business &amp; Management</x:v>
      </x:c>
      <x:c r="D12" s="52" t="str">
        <x:v>Bachelor of Applied Management (Business Transformation and Strategy)</x:v>
      </x:c>
      <x:c r="E12" s="52"/>
      <x:c r="F12" s="52" t="n">
        <x:v>7</x:v>
      </x:c>
      <x:c r="G12" s="52" t="str">
        <x:v>Bachelor's Degree</x:v>
      </x:c>
      <x:c r="H12" s="52" t="str">
        <x:v>On campus / in-person (may include blended components)</x:v>
      </x:c>
      <x:c r="I12" s="52" t="str">
        <x:v>Yes — provider publishes international/on-campus availability</x:v>
      </x:c>
      <x:c r="J12" s="52" t="str">
        <x:v>Madras Street Campus</x:v>
      </x:c>
      <x:c r="K12" s="52" t="str">
        <x:v>3 Years (part-time options available)</x:v>
      </x:c>
      <x:c r="L12" s="52"/>
      <x:c r="M12" s="52" t="str">
        <x:v>15 February 2027</x:v>
      </x:c>
      <x:c r="N12" s="52" t="str">
        <x:v>$26,572 per year</x:v>
      </x:c>
      <x:c r="O12" s="52" t="str">
        <x:v>per year</x:v>
      </x:c>
      <x:c r="P12" s="52" t="str">
        <x:v>2026</x:v>
      </x:c>
      <x:c r="Q12" s="52" t="str">
        <x:v>Not published; 2026 fee shown only</x:v>
      </x:c>
      <x:c r="R12" s="52"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2"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2" s="52"/>
      <x:c r="U12" s="52" t="str">
        <x:v>Ara funding assistance page; no automatic international award confirmed unless stated on the programme page.</x:v>
      </x:c>
      <x:c r="V12" s="58" t="str">
        <x:v>https://www.ara.ac.nz/products/programme/ch3988-btas-bachelor-of-applied-management-business-transformation-and-strategy/</x:v>
      </x:c>
      <x:c r="W12" s="58" t="str">
        <x:v>https://search.ara.ac.nz/siteassets/documents---home/study/priority-learning-groups/international-students/international-brochures--study-guide/international-prospectus-2026.pdf</x:v>
      </x:c>
      <x:c r="X12" s="52" t="str">
        <x:v>2026-07-29</x:v>
      </x:c>
      <x:c r="Y12" s="52" t="str">
        <x:v>Double-checked: live programme page + official international source</x:v>
      </x:c>
      <x:c r="Z12" s="52" t="str">
        <x:v>Live page explicitly states the programme may be available for a Study Visa. 2027 fee not inferred from 2026.</x:v>
      </x:c>
      <x:c r="AA12" s="52"/>
      <x:c r="AB12" s="52" t="str">
        <x:v>Published by provider</x:v>
      </x:c>
      <x:c r="AC12" s="53" t="str">
        <x:v>15 February 2027</x:v>
      </x:c>
    </x:row>
    <x:row r="13" ht="48" customHeight="1">
      <x:c r="A13" s="45" t="str">
        <x:v>Ara Institute of Canterbury</x:v>
      </x:c>
      <x:c r="B13" s="46" t="str">
        <x:v>Ara</x:v>
      </x:c>
      <x:c r="C13" s="46" t="str">
        <x:v>Business &amp; Management</x:v>
      </x:c>
      <x:c r="D13" s="46" t="str">
        <x:v>Bachelor of Applied Management (Event Management)</x:v>
      </x:c>
      <x:c r="E13" s="46"/>
      <x:c r="F13" s="46" t="n">
        <x:v>7</x:v>
      </x:c>
      <x:c r="G13" s="46" t="str">
        <x:v>Bachelor's Degree</x:v>
      </x:c>
      <x:c r="H13" s="46" t="str">
        <x:v>On campus / in-person (may include blended components)</x:v>
      </x:c>
      <x:c r="I13" s="46" t="str">
        <x:v>Yes — provider publishes international/on-campus availability</x:v>
      </x:c>
      <x:c r="J13" s="46" t="str">
        <x:v>Madras Street Campus</x:v>
      </x:c>
      <x:c r="K13" s="46" t="str">
        <x:v>3 Years (part-time options available)</x:v>
      </x:c>
      <x:c r="L13" s="46"/>
      <x:c r="M13" s="46" t="str">
        <x:v>15 February 2027</x:v>
      </x:c>
      <x:c r="N13" s="46" t="str">
        <x:v>$26,572 per year</x:v>
      </x:c>
      <x:c r="O13" s="46" t="str">
        <x:v>per year</x:v>
      </x:c>
      <x:c r="P13" s="46" t="str">
        <x:v>2026</x:v>
      </x:c>
      <x:c r="Q13" s="46" t="str">
        <x:v>Not published; 2026 fee shown only</x:v>
      </x:c>
      <x:c r="R13" s="46"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3"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3" s="46"/>
      <x:c r="U13" s="46" t="str">
        <x:v>Ara funding assistance page; no automatic international award confirmed unless stated on the programme page.</x:v>
      </x:c>
      <x:c r="V13" s="59" t="str">
        <x:v>https://www.ara.ac.nz/products/programme/ch3988-evmt-bachelor-of-applied-management-event-management/</x:v>
      </x:c>
      <x:c r="W13" s="59" t="str">
        <x:v>https://search.ara.ac.nz/siteassets/documents---home/study/priority-learning-groups/international-students/international-brochures--study-guide/international-prospectus-2026.pdf</x:v>
      </x:c>
      <x:c r="X13" s="46" t="str">
        <x:v>2026-07-29</x:v>
      </x:c>
      <x:c r="Y13" s="46" t="str">
        <x:v>Double-checked: live programme page + official international source</x:v>
      </x:c>
      <x:c r="Z13" s="46" t="str">
        <x:v>Live page explicitly states the programme may be available for a Study Visa. 2027 fee not inferred from 2026.</x:v>
      </x:c>
      <x:c r="AA13" s="46"/>
      <x:c r="AB13" s="46" t="str">
        <x:v>Published by provider</x:v>
      </x:c>
      <x:c r="AC13" s="47" t="str">
        <x:v>15 February 2027</x:v>
      </x:c>
    </x:row>
    <x:row r="14" ht="48" customHeight="1">
      <x:c r="A14" s="51" t="str">
        <x:v>Ara Institute of Canterbury</x:v>
      </x:c>
      <x:c r="B14" s="52" t="str">
        <x:v>Ara</x:v>
      </x:c>
      <x:c r="C14" s="52" t="str">
        <x:v>Business &amp; Management</x:v>
      </x:c>
      <x:c r="D14" s="52" t="str">
        <x:v>Bachelor of Applied Management (Hotel and Tourism Management)</x:v>
      </x:c>
      <x:c r="E14" s="52"/>
      <x:c r="F14" s="52" t="n">
        <x:v>7</x:v>
      </x:c>
      <x:c r="G14" s="52" t="str">
        <x:v>Bachelor's Degree</x:v>
      </x:c>
      <x:c r="H14" s="52" t="str">
        <x:v>On campus / in-person (may include blended components)</x:v>
      </x:c>
      <x:c r="I14" s="52" t="str">
        <x:v>Yes — provider publishes international/on-campus availability</x:v>
      </x:c>
      <x:c r="J14" s="52" t="str">
        <x:v>Madras Street Campus</x:v>
      </x:c>
      <x:c r="K14" s="52" t="str">
        <x:v>3 Years (part-time options available)</x:v>
      </x:c>
      <x:c r="L14" s="52"/>
      <x:c r="M14" s="52" t="str">
        <x:v>15 February 2027</x:v>
      </x:c>
      <x:c r="N14" s="52" t="str">
        <x:v>$26,572 per year</x:v>
      </x:c>
      <x:c r="O14" s="52" t="str">
        <x:v>per year</x:v>
      </x:c>
      <x:c r="P14" s="52" t="str">
        <x:v>2026</x:v>
      </x:c>
      <x:c r="Q14" s="52" t="str">
        <x:v>Not published; 2026 fee shown only</x:v>
      </x:c>
      <x:c r="R14" s="52"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4"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4" s="52"/>
      <x:c r="U14" s="52" t="str">
        <x:v>Ara funding assistance page; no automatic international award confirmed unless stated on the programme page.</x:v>
      </x:c>
      <x:c r="V14" s="58" t="str">
        <x:v>https://www.ara.ac.nz/products/programme/ch3988-htmt-bachelor-of-applied-management-hotel-and-tourism-management/</x:v>
      </x:c>
      <x:c r="W14" s="58" t="str">
        <x:v>https://search.ara.ac.nz/siteassets/documents---home/study/priority-learning-groups/international-students/international-brochures--study-guide/international-prospectus-2026.pdf</x:v>
      </x:c>
      <x:c r="X14" s="52" t="str">
        <x:v>2026-07-29</x:v>
      </x:c>
      <x:c r="Y14" s="52" t="str">
        <x:v>Double-checked: live programme page + official international source</x:v>
      </x:c>
      <x:c r="Z14" s="52" t="str">
        <x:v>Live page explicitly states the programme may be available for a Study Visa. 2027 fee not inferred from 2026.</x:v>
      </x:c>
      <x:c r="AA14" s="52"/>
      <x:c r="AB14" s="52" t="str">
        <x:v>Published by provider</x:v>
      </x:c>
      <x:c r="AC14" s="53" t="str">
        <x:v>15 February 2027</x:v>
      </x:c>
    </x:row>
    <x:row r="15" ht="48" customHeight="1">
      <x:c r="A15" s="45" t="str">
        <x:v>Ara Institute of Canterbury</x:v>
      </x:c>
      <x:c r="B15" s="46" t="str">
        <x:v>Ara</x:v>
      </x:c>
      <x:c r="C15" s="46" t="str">
        <x:v>Business &amp; Management</x:v>
      </x:c>
      <x:c r="D15" s="46" t="str">
        <x:v>Bachelor of Applied Management (Human Resource Management)</x:v>
      </x:c>
      <x:c r="E15" s="46"/>
      <x:c r="F15" s="46" t="n">
        <x:v>7</x:v>
      </x:c>
      <x:c r="G15" s="46" t="str">
        <x:v>Bachelor's Degree</x:v>
      </x:c>
      <x:c r="H15" s="46" t="str">
        <x:v>On campus / in-person (may include blended components)</x:v>
      </x:c>
      <x:c r="I15" s="46" t="str">
        <x:v>Yes — provider publishes international/on-campus availability</x:v>
      </x:c>
      <x:c r="J15" s="46" t="str">
        <x:v>Madras Street Campus</x:v>
      </x:c>
      <x:c r="K15" s="46" t="str">
        <x:v>3 Years (part-time options available)</x:v>
      </x:c>
      <x:c r="L15" s="46"/>
      <x:c r="M15" s="46" t="str">
        <x:v>15 February 2027</x:v>
      </x:c>
      <x:c r="N15" s="46" t="str">
        <x:v>$26,572 per year</x:v>
      </x:c>
      <x:c r="O15" s="46" t="str">
        <x:v>per year</x:v>
      </x:c>
      <x:c r="P15" s="46" t="str">
        <x:v>2026</x:v>
      </x:c>
      <x:c r="Q15" s="46" t="str">
        <x:v>Not published; 2026 fee shown only</x:v>
      </x:c>
      <x:c r="R15" s="46"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5"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5" s="46"/>
      <x:c r="U15" s="46" t="str">
        <x:v>Ara funding assistance page; no automatic international award confirmed unless stated on the programme page.</x:v>
      </x:c>
      <x:c r="V15" s="59" t="str">
        <x:v>https://www.ara.ac.nz/products/programme/ch3988-hurm-bachelor-of-applied-management-human-resource-management/</x:v>
      </x:c>
      <x:c r="W15" s="59" t="str">
        <x:v>https://search.ara.ac.nz/siteassets/documents---home/study/priority-learning-groups/international-students/international-brochures--study-guide/international-prospectus-2026.pdf</x:v>
      </x:c>
      <x:c r="X15" s="46" t="str">
        <x:v>2026-07-29</x:v>
      </x:c>
      <x:c r="Y15" s="46" t="str">
        <x:v>Double-checked: live programme page + official international source</x:v>
      </x:c>
      <x:c r="Z15" s="46" t="str">
        <x:v>Live page explicitly states the programme may be available for a Study Visa. 2027 fee not inferred from 2026.</x:v>
      </x:c>
      <x:c r="AA15" s="46"/>
      <x:c r="AB15" s="46" t="str">
        <x:v>Published by provider</x:v>
      </x:c>
      <x:c r="AC15" s="47" t="str">
        <x:v>15 February 2027</x:v>
      </x:c>
    </x:row>
    <x:row r="16" ht="48" customHeight="1">
      <x:c r="A16" s="51" t="str">
        <x:v>Ara Institute of Canterbury</x:v>
      </x:c>
      <x:c r="B16" s="52" t="str">
        <x:v>Ara</x:v>
      </x:c>
      <x:c r="C16" s="52" t="str">
        <x:v>Business &amp; Management</x:v>
      </x:c>
      <x:c r="D16" s="52" t="str">
        <x:v>Bachelor of Applied Management (Marketing and Sales)</x:v>
      </x:c>
      <x:c r="E16" s="52"/>
      <x:c r="F16" s="52" t="n">
        <x:v>7</x:v>
      </x:c>
      <x:c r="G16" s="52" t="str">
        <x:v>Bachelor's Degree</x:v>
      </x:c>
      <x:c r="H16" s="52" t="str">
        <x:v>On campus / in-person (may include blended components)</x:v>
      </x:c>
      <x:c r="I16" s="52" t="str">
        <x:v>Yes — provider publishes international/on-campus availability</x:v>
      </x:c>
      <x:c r="J16" s="52" t="str">
        <x:v>Madras Street Campus</x:v>
      </x:c>
      <x:c r="K16" s="52" t="str">
        <x:v>3 Years (part-time options available)</x:v>
      </x:c>
      <x:c r="L16" s="52"/>
      <x:c r="M16" s="52" t="str">
        <x:v>15 February 2027</x:v>
      </x:c>
      <x:c r="N16" s="52" t="str">
        <x:v>$26,572 per year</x:v>
      </x:c>
      <x:c r="O16" s="52" t="str">
        <x:v>per year</x:v>
      </x:c>
      <x:c r="P16" s="52" t="str">
        <x:v>2026</x:v>
      </x:c>
      <x:c r="Q16" s="52" t="str">
        <x:v>Not published; 2026 fee shown only</x:v>
      </x:c>
      <x:c r="R16" s="52"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6"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6" s="52"/>
      <x:c r="U16" s="52" t="str">
        <x:v>Ara funding assistance page; no automatic international award confirmed unless stated on the programme page.</x:v>
      </x:c>
      <x:c r="V16" s="58" t="str">
        <x:v>https://www.ara.ac.nz/products/programme/ch3988-mkas-bachelor-of-applied-management-marketing-and-sales/</x:v>
      </x:c>
      <x:c r="W16" s="58" t="str">
        <x:v>https://search.ara.ac.nz/siteassets/documents---home/study/priority-learning-groups/international-students/international-brochures--study-guide/international-prospectus-2026.pdf</x:v>
      </x:c>
      <x:c r="X16" s="52" t="str">
        <x:v>2026-07-29</x:v>
      </x:c>
      <x:c r="Y16" s="52" t="str">
        <x:v>Double-checked: live programme page + official international source</x:v>
      </x:c>
      <x:c r="Z16" s="52" t="str">
        <x:v>Live page explicitly states the programme may be available for a Study Visa. 2027 fee not inferred from 2026.</x:v>
      </x:c>
      <x:c r="AA16" s="52"/>
      <x:c r="AB16" s="52" t="str">
        <x:v>Published by provider</x:v>
      </x:c>
      <x:c r="AC16" s="53" t="str">
        <x:v>15 February 2027</x:v>
      </x:c>
    </x:row>
    <x:row r="17" ht="48" customHeight="1">
      <x:c r="A17" s="45" t="str">
        <x:v>Ara Institute of Canterbury</x:v>
      </x:c>
      <x:c r="B17" s="46" t="str">
        <x:v>Ara</x:v>
      </x:c>
      <x:c r="C17" s="46" t="str">
        <x:v>Business &amp; Management</x:v>
      </x:c>
      <x:c r="D17" s="46" t="str">
        <x:v>Bachelor of Applied Management (Operations and Product Management)</x:v>
      </x:c>
      <x:c r="E17" s="46"/>
      <x:c r="F17" s="46" t="n">
        <x:v>7</x:v>
      </x:c>
      <x:c r="G17" s="46" t="str">
        <x:v>Bachelor's Degree</x:v>
      </x:c>
      <x:c r="H17" s="46" t="str">
        <x:v>On campus / in-person (may include blended components)</x:v>
      </x:c>
      <x:c r="I17" s="46" t="str">
        <x:v>Yes — provider publishes international/on-campus availability</x:v>
      </x:c>
      <x:c r="J17" s="46" t="str">
        <x:v>Madras Street Campus</x:v>
      </x:c>
      <x:c r="K17" s="46" t="str">
        <x:v>3 Years (part-time options available)</x:v>
      </x:c>
      <x:c r="L17" s="46"/>
      <x:c r="M17" s="46" t="str">
        <x:v>15 February 2027</x:v>
      </x:c>
      <x:c r="N17" s="46" t="str">
        <x:v>$26,572 per year</x:v>
      </x:c>
      <x:c r="O17" s="46" t="str">
        <x:v>per year</x:v>
      </x:c>
      <x:c r="P17" s="46" t="str">
        <x:v>2026</x:v>
      </x:c>
      <x:c r="Q17" s="46" t="str">
        <x:v>Not published; 2026 fee shown only</x:v>
      </x:c>
      <x:c r="R17" s="46"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7"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7" s="46"/>
      <x:c r="U17" s="46" t="str">
        <x:v>Ara funding assistance page; no automatic international award confirmed unless stated on the programme page.</x:v>
      </x:c>
      <x:c r="V17" s="59" t="str">
        <x:v>https://www.ara.ac.nz/products/programme/ch3988-opmt-bachelor-of-applied-management-operations-and-product-management/</x:v>
      </x:c>
      <x:c r="W17" s="59" t="str">
        <x:v>https://search.ara.ac.nz/siteassets/documents---home/study/priority-learning-groups/international-students/international-brochures--study-guide/international-prospectus-2026.pdf</x:v>
      </x:c>
      <x:c r="X17" s="46" t="str">
        <x:v>2026-07-29</x:v>
      </x:c>
      <x:c r="Y17" s="46" t="str">
        <x:v>Double-checked: live programme page + official international source</x:v>
      </x:c>
      <x:c r="Z17" s="46" t="str">
        <x:v>Live page explicitly states the programme may be available for a Study Visa. 2027 fee not inferred from 2026.</x:v>
      </x:c>
      <x:c r="AA17" s="46"/>
      <x:c r="AB17" s="46" t="str">
        <x:v>Published by provider</x:v>
      </x:c>
      <x:c r="AC17" s="47" t="str">
        <x:v>15 February 2027</x:v>
      </x:c>
    </x:row>
    <x:row r="18" ht="48" customHeight="1">
      <x:c r="A18" s="51" t="str">
        <x:v>Ara Institute of Canterbury</x:v>
      </x:c>
      <x:c r="B18" s="52" t="str">
        <x:v>Ara</x:v>
      </x:c>
      <x:c r="C18" s="52" t="str">
        <x:v>Business &amp; Management</x:v>
      </x:c>
      <x:c r="D18" s="52" t="str">
        <x:v>Bachelor of Applied Management (Project Management)</x:v>
      </x:c>
      <x:c r="E18" s="52"/>
      <x:c r="F18" s="52" t="n">
        <x:v>7</x:v>
      </x:c>
      <x:c r="G18" s="52" t="str">
        <x:v>Bachelor's Degree</x:v>
      </x:c>
      <x:c r="H18" s="52" t="str">
        <x:v>On campus / in-person (may include blended components)</x:v>
      </x:c>
      <x:c r="I18" s="52" t="str">
        <x:v>Yes — provider publishes international/on-campus availability</x:v>
      </x:c>
      <x:c r="J18" s="52" t="str">
        <x:v>Madras Street Campus</x:v>
      </x:c>
      <x:c r="K18" s="52" t="str">
        <x:v>3 Years (part-time options available)</x:v>
      </x:c>
      <x:c r="L18" s="52"/>
      <x:c r="M18" s="52" t="str">
        <x:v>15 February 2027</x:v>
      </x:c>
      <x:c r="N18" s="52" t="str">
        <x:v>$26,572 per year</x:v>
      </x:c>
      <x:c r="O18" s="52" t="str">
        <x:v>per year</x:v>
      </x:c>
      <x:c r="P18" s="52" t="str">
        <x:v>2026</x:v>
      </x:c>
      <x:c r="Q18" s="52" t="str">
        <x:v>Not published; 2026 fee shown only</x:v>
      </x:c>
      <x:c r="R18" s="52"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8"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8" s="52"/>
      <x:c r="U18" s="52" t="str">
        <x:v>Ara funding assistance page; no automatic international award confirmed unless stated on the programme page.</x:v>
      </x:c>
      <x:c r="V18" s="58" t="str">
        <x:v>https://www.ara.ac.nz/products/programme/ch3988-prmt-bachelor-of-applied-management-project-management/</x:v>
      </x:c>
      <x:c r="W18" s="58" t="str">
        <x:v>https://search.ara.ac.nz/siteassets/documents---home/study/priority-learning-groups/international-students/international-brochures--study-guide/international-prospectus-2026.pdf</x:v>
      </x:c>
      <x:c r="X18" s="52" t="str">
        <x:v>2026-07-29</x:v>
      </x:c>
      <x:c r="Y18" s="52" t="str">
        <x:v>Double-checked: live programme page + official international source</x:v>
      </x:c>
      <x:c r="Z18" s="52" t="str">
        <x:v>Live page explicitly states the programme may be available for a Study Visa. 2027 fee not inferred from 2026.</x:v>
      </x:c>
      <x:c r="AA18" s="52"/>
      <x:c r="AB18" s="52" t="str">
        <x:v>Published by provider</x:v>
      </x:c>
      <x:c r="AC18" s="53" t="str">
        <x:v>15 February 2027</x:v>
      </x:c>
    </x:row>
    <x:row r="19" ht="48" customHeight="1">
      <x:c r="A19" s="45" t="str">
        <x:v>Ara Institute of Canterbury</x:v>
      </x:c>
      <x:c r="B19" s="46" t="str">
        <x:v>Ara</x:v>
      </x:c>
      <x:c r="C19" s="46" t="str">
        <x:v>Business &amp; Management</x:v>
      </x:c>
      <x:c r="D19" s="46" t="str">
        <x:v>Bachelor of Applied Management (Supply Chain Logistics)</x:v>
      </x:c>
      <x:c r="E19" s="46"/>
      <x:c r="F19" s="46" t="n">
        <x:v>7</x:v>
      </x:c>
      <x:c r="G19" s="46" t="str">
        <x:v>Bachelor's Degree</x:v>
      </x:c>
      <x:c r="H19" s="46" t="str">
        <x:v>On campus / in-person (may include blended components)</x:v>
      </x:c>
      <x:c r="I19" s="46" t="str">
        <x:v>Yes — provider publishes international/on-campus availability</x:v>
      </x:c>
      <x:c r="J19" s="46" t="str">
        <x:v>Madras Street Campus</x:v>
      </x:c>
      <x:c r="K19" s="46" t="str">
        <x:v>3 Years (part-time options available)</x:v>
      </x:c>
      <x:c r="L19" s="46"/>
      <x:c r="M19" s="46" t="str">
        <x:v>15 February 2027</x:v>
      </x:c>
      <x:c r="N19" s="46" t="str">
        <x:v>$26,572 per year</x:v>
      </x:c>
      <x:c r="O19" s="46" t="str">
        <x:v>per year</x:v>
      </x:c>
      <x:c r="P19" s="46" t="str">
        <x:v>2026</x:v>
      </x:c>
      <x:c r="Q19" s="46" t="str">
        <x:v>Not published; 2026 fee shown only</x:v>
      </x:c>
      <x:c r="R19" s="46" t="str">
        <x:v>University Entrance as specified by the New Zealand Qualifications Authority (NZQA)Or New Zealand Certificate in Study and Employment Pathways (Level 4) Open PathwayOr a relevant qualification at Level 4 or above listed on the New Zealand Qualifications and Credentials Framework.If you have undertaken examinations other than NCEA (e.g. International Baccalaureate, Cambridge Examination), Ara will assess your qualification for academic entry equivalency.</x:v>
      </x:c>
      <x:c r="S19"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test.You do not need to provide additional evidence of English Language skills.Overall IELTS 6.0 Acad</x:v>
      </x:c>
      <x:c r="T19" s="46"/>
      <x:c r="U19" s="46" t="str">
        <x:v>Ara funding assistance page; no automatic international award confirmed unless stated on the programme page.</x:v>
      </x:c>
      <x:c r="V19" s="59" t="str">
        <x:v>https://www.ara.ac.nz/products/programme/ch3988-sucl-bachelor-of-applied-management-supply-chain-logistics/</x:v>
      </x:c>
      <x:c r="W19" s="59" t="str">
        <x:v>https://search.ara.ac.nz/siteassets/documents---home/study/priority-learning-groups/international-students/international-brochures--study-guide/international-prospectus-2026.pdf</x:v>
      </x:c>
      <x:c r="X19" s="46" t="str">
        <x:v>2026-07-29</x:v>
      </x:c>
      <x:c r="Y19" s="46" t="str">
        <x:v>Double-checked: live programme page + official international source</x:v>
      </x:c>
      <x:c r="Z19" s="46" t="str">
        <x:v>Live page explicitly states the programme may be available for a Study Visa. 2027 fee not inferred from 2026.</x:v>
      </x:c>
      <x:c r="AA19" s="46"/>
      <x:c r="AB19" s="46" t="str">
        <x:v>Published by provider</x:v>
      </x:c>
      <x:c r="AC19" s="47" t="str">
        <x:v>15 February 2027</x:v>
      </x:c>
    </x:row>
    <x:row r="20" ht="48" customHeight="1">
      <x:c r="A20" s="51" t="str">
        <x:v>Ara Institute of Canterbury</x:v>
      </x:c>
      <x:c r="B20" s="52" t="str">
        <x:v>Ara</x:v>
      </x:c>
      <x:c r="C20" s="52" t="str">
        <x:v>Business &amp; Management</x:v>
      </x:c>
      <x:c r="D20" s="52" t="str">
        <x:v>Bachelor of Construction (Construction Management)</x:v>
      </x:c>
      <x:c r="E20" s="52"/>
      <x:c r="F20" s="52" t="n">
        <x:v>7</x:v>
      </x:c>
      <x:c r="G20" s="52" t="str">
        <x:v>Bachelor's Degree</x:v>
      </x:c>
      <x:c r="H20" s="52" t="str">
        <x:v>On campus / in-person (may include blended components)</x:v>
      </x:c>
      <x:c r="I20" s="52" t="str">
        <x:v>Yes — provider publishes international/on-campus availability</x:v>
      </x:c>
      <x:c r="J20" s="52" t="str">
        <x:v>Madras Street Campus</x:v>
      </x:c>
      <x:c r="K20" s="52" t="str">
        <x:v>3 Years (part-time options available)</x:v>
      </x:c>
      <x:c r="L20" s="52"/>
      <x:c r="M20" s="52" t="str">
        <x:v>15 February 2027; 19 July 2027</x:v>
      </x:c>
      <x:c r="N20" s="52" t="str">
        <x:v>$26,572 per year</x:v>
      </x:c>
      <x:c r="O20" s="52" t="str">
        <x:v>per year</x:v>
      </x:c>
      <x:c r="P20" s="52" t="str">
        <x:v>2026</x:v>
      </x:c>
      <x:c r="Q20" s="52" t="str">
        <x:v>Not published; 2026 fee shown only</x:v>
      </x:c>
      <x:c r="R20" s="52" t="str">
        <x:v>University Entrance as specified by the New Zealand Qualifications Authority (NZQA) including:Mathematics - 12 credits in Maths at Level 2 or above (Excluding Statistics).Or New Zealand Certificate in Study and Employment Pathways (Level 4) Construction and ICT Pathway or equivalent.If you have undertaken examinations other than NCEA (e.g. International Baccalaureate, Cambridge Examination), Ara will assess your qualification for academic entry equivalency.* NZQA approved subjects: see https://www2.nzqa.govt.nz/ncea/understanding-secondary-quals/university-entrance/</x:v>
      </x:c>
      <x:c r="S20"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0" s="52"/>
      <x:c r="U20" s="52" t="str">
        <x:v>Ara funding assistance page; no automatic international award confirmed unless stated on the programme page.</x:v>
      </x:c>
      <x:c r="V20" s="58" t="str">
        <x:v>https://www.ara.ac.nz/products/programme/ch4060-cons-bachelor-of-construction-construction-management/</x:v>
      </x:c>
      <x:c r="W20" s="58" t="str">
        <x:v>https://search.ara.ac.nz/siteassets/documents---home/study/priority-learning-groups/international-students/international-brochures--study-guide/international-prospectus-2026.pdf</x:v>
      </x:c>
      <x:c r="X20" s="52" t="str">
        <x:v>2026-07-29</x:v>
      </x:c>
      <x:c r="Y20" s="52" t="str">
        <x:v>Double-checked: live programme page + official international source</x:v>
      </x:c>
      <x:c r="Z20" s="52" t="str">
        <x:v>Live page explicitly states the programme may be available for a Study Visa. 2027 fee not inferred from 2026.</x:v>
      </x:c>
      <x:c r="AA20" s="52"/>
      <x:c r="AB20" s="52" t="str">
        <x:v>Published by provider</x:v>
      </x:c>
      <x:c r="AC20" s="53" t="str">
        <x:v>15 February 2027; 19 July 2027</x:v>
      </x:c>
    </x:row>
    <x:row r="21" ht="48" customHeight="1">
      <x:c r="A21" s="45" t="str">
        <x:v>Ara Institute of Canterbury</x:v>
      </x:c>
      <x:c r="B21" s="46" t="str">
        <x:v>Ara</x:v>
      </x:c>
      <x:c r="C21" s="46" t="str">
        <x:v>Business &amp; Management</x:v>
      </x:c>
      <x:c r="D21" s="46" t="str">
        <x:v>Graduate Diploma in Human Resource Management</x:v>
      </x:c>
      <x:c r="E21" s="46"/>
      <x:c r="F21" s="46" t="n">
        <x:v>7</x:v>
      </x:c>
      <x:c r="G21" s="46" t="str">
        <x:v>Graduate Diploma</x:v>
      </x:c>
      <x:c r="H21" s="46" t="str">
        <x:v>On campus / in-person (may include blended components)</x:v>
      </x:c>
      <x:c r="I21" s="46" t="str">
        <x:v>Yes — provider publishes international/on-campus availability</x:v>
      </x:c>
      <x:c r="J21" s="46" t="str">
        <x:v>Madras Street Campus</x:v>
      </x:c>
      <x:c r="K21" s="46" t="str">
        <x:v>1 Year</x:v>
      </x:c>
      <x:c r="L21" s="46"/>
      <x:c r="M21" s="46" t="str">
        <x:v>15 February 2027</x:v>
      </x:c>
      <x:c r="N21" s="46" t="str">
        <x:v>$26,572 per year (engineering/health $29,761; programme page/prospectus controls)</x:v>
      </x:c>
      <x:c r="O21" s="46" t="str">
        <x:v>See 2026 prospectus; programme dependent</x:v>
      </x:c>
      <x:c r="P21" s="46" t="str">
        <x:v>2026</x:v>
      </x:c>
      <x:c r="Q21" s="46" t="str">
        <x:v>Not published; 2026 fee shown only</x:v>
      </x:c>
      <x:c r="R21" s="46" t="str">
        <x:v>A Bachelor's degree in any field excluding human resource management.</x:v>
      </x:c>
      <x:c r="S21"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1" s="46"/>
      <x:c r="U21" s="46" t="str">
        <x:v>Ara funding assistance page; no automatic international award confirmed unless stated on the programme page.</x:v>
      </x:c>
      <x:c r="V21" s="59" t="str">
        <x:v>https://www.ara.ac.nz/products/programme/ch3999-hrma-graduate-diploma-in-human-resource-management/</x:v>
      </x:c>
      <x:c r="W21" s="59" t="str">
        <x:v>https://search.ara.ac.nz/siteassets/documents---home/study/priority-learning-groups/international-students/international-brochures--study-guide/international-prospectus-2026.pdf</x:v>
      </x:c>
      <x:c r="X21" s="46" t="str">
        <x:v>2026-07-29</x:v>
      </x:c>
      <x:c r="Y21" s="46" t="str">
        <x:v>Double-checked: live programme page + official international source</x:v>
      </x:c>
      <x:c r="Z21" s="46" t="str">
        <x:v>Live page explicitly states the programme may be available for a Study Visa. 2027 fee not inferred from 2026.</x:v>
      </x:c>
      <x:c r="AA21" s="46"/>
      <x:c r="AB21" s="46" t="str">
        <x:v>Published by provider</x:v>
      </x:c>
      <x:c r="AC21" s="47" t="str">
        <x:v>15 February 2027</x:v>
      </x:c>
    </x:row>
    <x:row r="22" ht="48" customHeight="1">
      <x:c r="A22" s="51" t="str">
        <x:v>Ara Institute of Canterbury</x:v>
      </x:c>
      <x:c r="B22" s="52" t="str">
        <x:v>Ara</x:v>
      </x:c>
      <x:c r="C22" s="52" t="str">
        <x:v>Business &amp; Management</x:v>
      </x:c>
      <x:c r="D22" s="52" t="str">
        <x:v>Graduate Diploma in Supply Chain Logistics</x:v>
      </x:c>
      <x:c r="E22" s="52"/>
      <x:c r="F22" s="52" t="n">
        <x:v>7</x:v>
      </x:c>
      <x:c r="G22" s="52" t="str">
        <x:v>Graduate Diploma</x:v>
      </x:c>
      <x:c r="H22" s="52" t="str">
        <x:v>On campus / in-person (may include blended components)</x:v>
      </x:c>
      <x:c r="I22" s="52" t="str">
        <x:v>Yes — provider publishes international/on-campus availability</x:v>
      </x:c>
      <x:c r="J22" s="52" t="str">
        <x:v>Madras Street Campus</x:v>
      </x:c>
      <x:c r="K22" s="52" t="str">
        <x:v>1 Year</x:v>
      </x:c>
      <x:c r="L22" s="52"/>
      <x:c r="M22" s="52" t="str">
        <x:v>05 July 2027</x:v>
      </x:c>
      <x:c r="N22" s="52" t="str">
        <x:v>$26,572 per year (engineering/health $29,761; programme page/prospectus controls)</x:v>
      </x:c>
      <x:c r="O22" s="52" t="str">
        <x:v>See 2026 prospectus; programme dependent</x:v>
      </x:c>
      <x:c r="P22" s="52" t="str">
        <x:v>2026</x:v>
      </x:c>
      <x:c r="Q22" s="52" t="str">
        <x:v>Not published; 2026 fee shown only</x:v>
      </x:c>
      <x:c r="R22" s="52" t="str">
        <x:v>A Bachelor's degree in any field excluding Supply Chain Logistics.</x:v>
      </x:c>
      <x:c r="S22"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2" s="52"/>
      <x:c r="U22" s="52" t="str">
        <x:v>Ara funding assistance page; no automatic international award confirmed unless stated on the programme page.</x:v>
      </x:c>
      <x:c r="V22" s="58" t="str">
        <x:v>https://www.ara.ac.nz/products/programme/ch4050-sclg-graduate-diploma-in-supply-chain-logistics/</x:v>
      </x:c>
      <x:c r="W22" s="58" t="str">
        <x:v>https://search.ara.ac.nz/siteassets/documents---home/study/priority-learning-groups/international-students/international-brochures--study-guide/international-prospectus-2026.pdf</x:v>
      </x:c>
      <x:c r="X22" s="52" t="str">
        <x:v>2026-07-29</x:v>
      </x:c>
      <x:c r="Y22" s="52" t="str">
        <x:v>Double-checked: live programme page + official international source</x:v>
      </x:c>
      <x:c r="Z22" s="52" t="str">
        <x:v>Live page explicitly states the programme may be available for a Study Visa. 2027 fee not inferred from 2026.</x:v>
      </x:c>
      <x:c r="AA22" s="52"/>
      <x:c r="AB22" s="52" t="str">
        <x:v>Published by provider</x:v>
      </x:c>
      <x:c r="AC22" s="53" t="str">
        <x:v>05 July 2027</x:v>
      </x:c>
    </x:row>
    <x:row r="23" ht="48" customHeight="1">
      <x:c r="A23" s="45" t="str">
        <x:v>Ara Institute of Canterbury</x:v>
      </x:c>
      <x:c r="B23" s="46" t="str">
        <x:v>Ara</x:v>
      </x:c>
      <x:c r="C23" s="46" t="str">
        <x:v>Business &amp; Management</x:v>
      </x:c>
      <x:c r="D23" s="46" t="str">
        <x:v>New Zealand Diploma in Construction (Construction Management)</x:v>
      </x:c>
      <x:c r="E23" s="46"/>
      <x:c r="F23" s="46" t="n">
        <x:v>6</x:v>
      </x:c>
      <x:c r="G23" s="46" t="str">
        <x:v>Diploma</x:v>
      </x:c>
      <x:c r="H23" s="46" t="str">
        <x:v>On campus / in-person (may include blended components)</x:v>
      </x:c>
      <x:c r="I23" s="46" t="str">
        <x:v>Yes — provider publishes international/on-campus availability</x:v>
      </x:c>
      <x:c r="J23" s="46" t="str">
        <x:v>Madras Street Campus</x:v>
      </x:c>
      <x:c r="K23" s="46" t="str">
        <x:v>2 Years (part-time options available)</x:v>
      </x:c>
      <x:c r="L23" s="46"/>
      <x:c r="M23" s="46" t="str">
        <x:v>22 February 2027; 19 July 2027</x:v>
      </x:c>
      <x:c r="N23" s="46" t="str">
        <x:v>$23,672 per year</x:v>
      </x:c>
      <x:c r="O23" s="46" t="str">
        <x:v>per year</x:v>
      </x:c>
      <x:c r="P23" s="46" t="str">
        <x:v>2026</x:v>
      </x:c>
      <x:c r="Q23" s="46" t="str">
        <x:v>Not published; 2026 fee shown only</x:v>
      </x:c>
      <x:c r="R23" s="46" t="str">
        <x:v>NCEA Level 2 including mathematics and NCEA Level 1 including Literacy;OR a relevant qualification at NZQF Level 4 or aboveOR a recognised equivalentIf you have undertaken examinations other than NCEA (e.g. International Baccalaureate, Cambridge Examination), Ara will assess your qualification for academic entry equivalency.</x:v>
      </x:c>
      <x:c r="S23"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3" s="46"/>
      <x:c r="U23" s="46" t="str">
        <x:v>Ara funding assistance page; no automatic international award confirmed unless stated on the programme page.</x:v>
      </x:c>
      <x:c r="V23" s="59" t="str">
        <x:v>https://www.ara.ac.nz/products/programme/nz2420-cnst-new-zealand-diploma-in-construction-with-strand-in-construction-management/</x:v>
      </x:c>
      <x:c r="W23" s="59" t="str">
        <x:v>https://search.ara.ac.nz/siteassets/documents---home/study/priority-learning-groups/international-students/international-brochures--study-guide/international-prospectus-2026.pdf</x:v>
      </x:c>
      <x:c r="X23" s="46" t="str">
        <x:v>2026-07-29</x:v>
      </x:c>
      <x:c r="Y23" s="46" t="str">
        <x:v>Double-checked: live programme page + official international source</x:v>
      </x:c>
      <x:c r="Z23" s="46" t="str">
        <x:v>Live page explicitly states the programme may be available for a Study Visa. 2027 fee not inferred from 2026.</x:v>
      </x:c>
      <x:c r="AA23" s="46"/>
      <x:c r="AB23" s="46" t="str">
        <x:v>Published by provider</x:v>
      </x:c>
      <x:c r="AC23" s="47" t="str">
        <x:v>22 February 2027; 19 July 2027</x:v>
      </x:c>
    </x:row>
    <x:row r="24" ht="48" customHeight="1">
      <x:c r="A24" s="51" t="str">
        <x:v>Ara Institute of Canterbury</x:v>
      </x:c>
      <x:c r="B24" s="52" t="str">
        <x:v>Ara</x:v>
      </x:c>
      <x:c r="C24" s="52" t="str">
        <x:v>Business &amp; Management</x:v>
      </x:c>
      <x:c r="D24" s="52" t="str">
        <x:v>New Zealand Diploma in Business (Accounting)</x:v>
      </x:c>
      <x:c r="E24" s="52"/>
      <x:c r="F24" s="52" t="n">
        <x:v>5</x:v>
      </x:c>
      <x:c r="G24" s="52" t="str">
        <x:v>Diploma</x:v>
      </x:c>
      <x:c r="H24" s="52" t="str">
        <x:v>On campus / in-person (may include blended components)</x:v>
      </x:c>
      <x:c r="I24" s="52" t="str">
        <x:v>Yes — provider publishes international/on-campus availability</x:v>
      </x:c>
      <x:c r="J24" s="52" t="str">
        <x:v>Madras Street Campus</x:v>
      </x:c>
      <x:c r="K24" s="52" t="str">
        <x:v>1 YearS</x:v>
      </x:c>
      <x:c r="L24" s="52"/>
      <x:c r="M24" s="52" t="str">
        <x:v>15 February 2027</x:v>
      </x:c>
      <x:c r="N24" s="52" t="str">
        <x:v>$26,572 per year</x:v>
      </x:c>
      <x:c r="O24" s="52" t="str">
        <x:v>per year</x:v>
      </x:c>
      <x:c r="P24" s="52" t="str">
        <x:v>2026</x:v>
      </x:c>
      <x:c r="Q24" s="52" t="str">
        <x:v>Not published; 2026 fee shown only</x:v>
      </x:c>
      <x:c r="R24" s="52" t="str">
        <x:v>All applicants must be at least 16 years of age on the date of the programme's commencement for the semester in which they wish to enrol (or provide a completed Early release form), and meet one of the following requirements:Achievement of NCEA Level 2 including:8 Literacy credits at Level 2 or above; and14 Numeracy credits at Level 1 or aboveOR An equivalent of the aboveOR Successful completion of an approved qualification at Level 3 or above with a relevant pathwayIf you have undertaken examinations other than NCEA (e.g. International Baccalaureate, Cambridge Examination), Ara will assess your qualification for academic entry equivalency.</x:v>
      </x:c>
      <x:c r="S24"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4" s="52"/>
      <x:c r="U24" s="52" t="str">
        <x:v>Ara funding assistance page; no automatic international award confirmed unless stated on the programme page.</x:v>
      </x:c>
      <x:c r="V24" s="58" t="str">
        <x:v>https://www.ara.ac.nz/products/programme/nz2459-acct-new-zealand-diploma-in-business-accounting-strand/</x:v>
      </x:c>
      <x:c r="W24" s="58" t="str">
        <x:v>https://search.ara.ac.nz/siteassets/documents---home/study/priority-learning-groups/international-students/international-brochures--study-guide/international-prospectus-2026.pdf</x:v>
      </x:c>
      <x:c r="X24" s="52" t="str">
        <x:v>2026-07-29</x:v>
      </x:c>
      <x:c r="Y24" s="52" t="str">
        <x:v>Double-checked: live programme page + official international source</x:v>
      </x:c>
      <x:c r="Z24" s="52" t="str">
        <x:v>Live page explicitly states the programme may be available for a Study Visa. 2027 fee not inferred from 2026.</x:v>
      </x:c>
      <x:c r="AA24" s="52"/>
      <x:c r="AB24" s="52" t="str">
        <x:v>Published by provider</x:v>
      </x:c>
      <x:c r="AC24" s="53" t="str">
        <x:v>15 February 2027</x:v>
      </x:c>
    </x:row>
    <x:row r="25" ht="48" customHeight="1">
      <x:c r="A25" s="45" t="str">
        <x:v>Ara Institute of Canterbury</x:v>
      </x:c>
      <x:c r="B25" s="46" t="str">
        <x:v>Ara</x:v>
      </x:c>
      <x:c r="C25" s="46" t="str">
        <x:v>Business &amp; Management</x:v>
      </x:c>
      <x:c r="D25" s="46" t="str">
        <x:v>New Zealand Diploma in Business (Administration and Technology)</x:v>
      </x:c>
      <x:c r="E25" s="46"/>
      <x:c r="F25" s="46" t="n">
        <x:v>5</x:v>
      </x:c>
      <x:c r="G25" s="46" t="str">
        <x:v>Diploma</x:v>
      </x:c>
      <x:c r="H25" s="46" t="str">
        <x:v>On campus / in-person (may include blended components)</x:v>
      </x:c>
      <x:c r="I25" s="46" t="str">
        <x:v>Yes — provider publishes international/on-campus availability</x:v>
      </x:c>
      <x:c r="J25" s="46" t="str">
        <x:v>Madras Street Campus</x:v>
      </x:c>
      <x:c r="K25" s="46" t="str">
        <x:v>1 Year</x:v>
      </x:c>
      <x:c r="L25" s="46"/>
      <x:c r="M25" s="46" t="str">
        <x:v>17 February 2027</x:v>
      </x:c>
      <x:c r="N25" s="46" t="str">
        <x:v>$26,572 per year</x:v>
      </x:c>
      <x:c r="O25" s="46" t="str">
        <x:v>See 2026 prospectus; programme dependent</x:v>
      </x:c>
      <x:c r="P25" s="46" t="str">
        <x:v>2026</x:v>
      </x:c>
      <x:c r="Q25" s="46" t="str">
        <x:v>Not published; 2026 fee shown only</x:v>
      </x:c>
      <x:c r="R25" s="46" t="str">
        <x:v>All applicants must be at least 16 years of age on the date of the programme's commencement for the semester in which they wish to enrol (or provide a completed Early release form), and meet one of the following requirements:Achievement of NCEA Level 2 including:8 Literacy credits at Level 2 or above; and14 Numeracy credits at Level 1 or aboveOR An equivalent of the aboveOR Successful completion of an approved qualification at Level 3 or above with a relevant pathwayIf you have undertaken examinations other than NCEA (e.g. International Baccalaureate, Cambridge Examination), Ara will assess your qualification for academic entry equivalency.</x:v>
      </x:c>
      <x:c r="S25"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5" s="46"/>
      <x:c r="U25" s="46" t="str">
        <x:v>Ara funding assistance page; no automatic international award confirmed unless stated on the programme page.</x:v>
      </x:c>
      <x:c r="V25" s="59" t="str">
        <x:v>https://www.ara.ac.nz/products/programme/nz2459-tech-new-zealand-diploma-in-business-adminstration-and-technology-strand/</x:v>
      </x:c>
      <x:c r="W25" s="59" t="str">
        <x:v>https://search.ara.ac.nz/siteassets/documents---home/study/priority-learning-groups/international-students/international-brochures--study-guide/international-prospectus-2026.pdf</x:v>
      </x:c>
      <x:c r="X25" s="46" t="str">
        <x:v>2026-07-29</x:v>
      </x:c>
      <x:c r="Y25" s="46" t="str">
        <x:v>Double-checked: live programme page + official international source</x:v>
      </x:c>
      <x:c r="Z25" s="46" t="str">
        <x:v>Live page explicitly states the programme may be available for a Study Visa. 2027 fee not inferred from 2026.</x:v>
      </x:c>
      <x:c r="AA25" s="46"/>
      <x:c r="AB25" s="46" t="str">
        <x:v>Published by provider</x:v>
      </x:c>
      <x:c r="AC25" s="47" t="str">
        <x:v>17 February 2027</x:v>
      </x:c>
    </x:row>
    <x:row r="26" ht="48" customHeight="1">
      <x:c r="A26" s="51" t="str">
        <x:v>Ara Institute of Canterbury</x:v>
      </x:c>
      <x:c r="B26" s="52" t="str">
        <x:v>Ara</x:v>
      </x:c>
      <x:c r="C26" s="52" t="str">
        <x:v>Business &amp; Management</x:v>
      </x:c>
      <x:c r="D26" s="52" t="str">
        <x:v>New Zealand Diploma in Business (Human Resource Management)</x:v>
      </x:c>
      <x:c r="E26" s="52"/>
      <x:c r="F26" s="52" t="n">
        <x:v>5</x:v>
      </x:c>
      <x:c r="G26" s="52" t="str">
        <x:v>Diploma</x:v>
      </x:c>
      <x:c r="H26" s="52" t="str">
        <x:v>On campus / in-person (may include blended components)</x:v>
      </x:c>
      <x:c r="I26" s="52" t="str">
        <x:v>Yes — provider publishes international/on-campus availability</x:v>
      </x:c>
      <x:c r="J26" s="52" t="str">
        <x:v>Madras Street Campus</x:v>
      </x:c>
      <x:c r="K26" s="52" t="str">
        <x:v>1 YearS</x:v>
      </x:c>
      <x:c r="L26" s="52"/>
      <x:c r="M26" s="52" t="str">
        <x:v>15 February 2027</x:v>
      </x:c>
      <x:c r="N26" s="52" t="str">
        <x:v>$26,572 per year</x:v>
      </x:c>
      <x:c r="O26" s="52" t="str">
        <x:v>per year</x:v>
      </x:c>
      <x:c r="P26" s="52" t="str">
        <x:v>2026</x:v>
      </x:c>
      <x:c r="Q26" s="52" t="str">
        <x:v>Not published; 2026 fee shown only</x:v>
      </x:c>
      <x:c r="R26" s="52" t="str">
        <x:v>All applicants must be at least 16 years of age on the date of the programme's commencement for the semester in which they wish to enrol (or provide a completed Early release form), and meet one of the following requirements:Achievement of NCEA Level 2 including:8 Literacy credits at Level 2 or above; and14 Numeracy credits at Level 1 or aboveOR An equivalent of the aboveOR Successful completion of an approved qualification at Level 3 or above with a relevant pathwayIf you have undertaken examinations other than NCEA (e.g. International Baccalaureate, Cambridge Examination), Ara will assess your qualification for academic entry equivalency.</x:v>
      </x:c>
      <x:c r="S26"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6" s="52"/>
      <x:c r="U26" s="52" t="str">
        <x:v>Ara funding assistance page; no automatic international award confirmed unless stated on the programme page.</x:v>
      </x:c>
      <x:c r="V26" s="58" t="str">
        <x:v>https://www.ara.ac.nz/products/programme/nz2459-hrmg-new-zealand-diploma-in-business-human-resource-management-strand/</x:v>
      </x:c>
      <x:c r="W26" s="58" t="str">
        <x:v>https://search.ara.ac.nz/siteassets/documents---home/study/priority-learning-groups/international-students/international-brochures--study-guide/international-prospectus-2026.pdf</x:v>
      </x:c>
      <x:c r="X26" s="52" t="str">
        <x:v>2026-07-29</x:v>
      </x:c>
      <x:c r="Y26" s="52" t="str">
        <x:v>Double-checked: live programme page + official international source</x:v>
      </x:c>
      <x:c r="Z26" s="52" t="str">
        <x:v>Live page explicitly states the programme may be available for a Study Visa. 2027 fee not inferred from 2026.</x:v>
      </x:c>
      <x:c r="AA26" s="52"/>
      <x:c r="AB26" s="52" t="str">
        <x:v>Published by provider</x:v>
      </x:c>
      <x:c r="AC26" s="53" t="str">
        <x:v>15 February 2027</x:v>
      </x:c>
    </x:row>
    <x:row r="27" ht="48" customHeight="1">
      <x:c r="A27" s="45" t="str">
        <x:v>Ara Institute of Canterbury</x:v>
      </x:c>
      <x:c r="B27" s="46" t="str">
        <x:v>Ara</x:v>
      </x:c>
      <x:c r="C27" s="46" t="str">
        <x:v>Business &amp; Management</x:v>
      </x:c>
      <x:c r="D27" s="46" t="str">
        <x:v>New Zealand Diploma in Business (Leadership and Management)</x:v>
      </x:c>
      <x:c r="E27" s="46"/>
      <x:c r="F27" s="46" t="n">
        <x:v>5</x:v>
      </x:c>
      <x:c r="G27" s="46" t="str">
        <x:v>Diploma</x:v>
      </x:c>
      <x:c r="H27" s="46" t="str">
        <x:v>On campus / in-person (may include blended components)</x:v>
      </x:c>
      <x:c r="I27" s="46" t="str">
        <x:v>Yes — provider publishes international/on-campus availability</x:v>
      </x:c>
      <x:c r="J27" s="46" t="str">
        <x:v>Madras Street Campus</x:v>
      </x:c>
      <x:c r="K27" s="46" t="str">
        <x:v>1 Year</x:v>
      </x:c>
      <x:c r="L27" s="46"/>
      <x:c r="M27" s="46" t="str">
        <x:v>15 February 2027; 19 July 2027</x:v>
      </x:c>
      <x:c r="N27" s="46" t="str">
        <x:v>$26,572 per year</x:v>
      </x:c>
      <x:c r="O27" s="46" t="str">
        <x:v>per year</x:v>
      </x:c>
      <x:c r="P27" s="46" t="str">
        <x:v>2026</x:v>
      </x:c>
      <x:c r="Q27" s="46" t="str">
        <x:v>Not published; 2026 fee shown only</x:v>
      </x:c>
      <x:c r="R27" s="46" t="str">
        <x:v>All applicants must be at least 16 years of age on the date of the programme's commencement for the semester in which they wish to enrol (or provide a completed Early release form), and meet one of the following requirements:Achievement of NCEA Level 2 including:8 Literacy credits at Level 2 or above; and14 Numeracy credits at Level 1 or aboveOR An equivalent of the aboveOR Successful completion of an approved qualification at Level 3 or above with a relevant pathwayIf you have undertaken examinations other than NCEA (e.g. International Baccalaureate, Cambridge Examination), Ara will assess your qualification for academic entry equivalency.</x:v>
      </x:c>
      <x:c r="S27"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7" s="46"/>
      <x:c r="U27" s="46" t="str">
        <x:v>Ara funding assistance page; no automatic international award confirmed unless stated on the programme page.</x:v>
      </x:c>
      <x:c r="V27" s="59" t="str">
        <x:v>https://www.ara.ac.nz/products/programme/nz2459-ldmg-new-zealand-diploma-in-business-leadership-and-management-strand/</x:v>
      </x:c>
      <x:c r="W27" s="59" t="str">
        <x:v>https://search.ara.ac.nz/siteassets/documents---home/study/priority-learning-groups/international-students/international-brochures--study-guide/international-prospectus-2026.pdf</x:v>
      </x:c>
      <x:c r="X27" s="46" t="str">
        <x:v>2026-07-29</x:v>
      </x:c>
      <x:c r="Y27" s="46" t="str">
        <x:v>Double-checked: live programme page + official international source</x:v>
      </x:c>
      <x:c r="Z27" s="46" t="str">
        <x:v>Live page explicitly states the programme may be available for a Study Visa. 2027 fee not inferred from 2026.</x:v>
      </x:c>
      <x:c r="AA27" s="46"/>
      <x:c r="AB27" s="46" t="str">
        <x:v>Published by provider</x:v>
      </x:c>
      <x:c r="AC27" s="47" t="str">
        <x:v>15 February 2027; 19 July 2027</x:v>
      </x:c>
    </x:row>
    <x:row r="28" ht="48" customHeight="1">
      <x:c r="A28" s="51" t="str">
        <x:v>Ara Institute of Canterbury</x:v>
      </x:c>
      <x:c r="B28" s="52" t="str">
        <x:v>Ara</x:v>
      </x:c>
      <x:c r="C28" s="52" t="str">
        <x:v>Business &amp; Management</x:v>
      </x:c>
      <x:c r="D28" s="52" t="str">
        <x:v>New Zealand Diploma in Business (Marketing and Sales)</x:v>
      </x:c>
      <x:c r="E28" s="52"/>
      <x:c r="F28" s="52" t="n">
        <x:v>5</x:v>
      </x:c>
      <x:c r="G28" s="52" t="str">
        <x:v>Diploma</x:v>
      </x:c>
      <x:c r="H28" s="52" t="str">
        <x:v>On campus / in-person (may include blended components)</x:v>
      </x:c>
      <x:c r="I28" s="52" t="str">
        <x:v>Yes — provider publishes international/on-campus availability</x:v>
      </x:c>
      <x:c r="J28" s="52" t="str">
        <x:v>Madras Street Campus</x:v>
      </x:c>
      <x:c r="K28" s="52" t="str">
        <x:v>1 Year</x:v>
      </x:c>
      <x:c r="L28" s="52"/>
      <x:c r="M28" s="52" t="str">
        <x:v>15 February 2027</x:v>
      </x:c>
      <x:c r="N28" s="52" t="str">
        <x:v>$26,572 per year</x:v>
      </x:c>
      <x:c r="O28" s="52" t="str">
        <x:v>per year</x:v>
      </x:c>
      <x:c r="P28" s="52" t="str">
        <x:v>2026</x:v>
      </x:c>
      <x:c r="Q28" s="52" t="str">
        <x:v>Not published; 2026 fee shown only</x:v>
      </x:c>
      <x:c r="R28" s="52" t="str">
        <x:v>All applicants must be at least 16 years of age on the date of the programme's commencement for the semester in which they wish to enrol (or provide a completed Early release form), and meet one of the following requirements:Achievement of NCEA Level 2 including:8 Literacy credits at Level 2 or above; and14 Numeracy credits at Level 1 or aboveOR An equivalent of the aboveOR Successful completion of an approved qualification at Level 3 or above with a relevant pathwayIf you have undertaken examinations other than NCEA (e.g. International Baccalaureate, Cambridge Examination), Ara will assess your qualification for academic entry equivalency.</x:v>
      </x:c>
      <x:c r="S28"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8" s="52"/>
      <x:c r="U28" s="52" t="str">
        <x:v>Ara funding assistance page; no automatic international award confirmed unless stated on the programme page.</x:v>
      </x:c>
      <x:c r="V28" s="58" t="str">
        <x:v>https://www.ara.ac.nz/products/programme/nz2459-mksa-new-zealand-diploma-in-business-marketing-and-sales-strand/</x:v>
      </x:c>
      <x:c r="W28" s="58" t="str">
        <x:v>https://search.ara.ac.nz/siteassets/documents---home/study/priority-learning-groups/international-students/international-brochures--study-guide/international-prospectus-2026.pdf</x:v>
      </x:c>
      <x:c r="X28" s="52" t="str">
        <x:v>2026-07-29</x:v>
      </x:c>
      <x:c r="Y28" s="52" t="str">
        <x:v>Double-checked: live programme page + official international source</x:v>
      </x:c>
      <x:c r="Z28" s="52" t="str">
        <x:v>Live page explicitly states the programme may be available for a Study Visa. 2027 fee not inferred from 2026.</x:v>
      </x:c>
      <x:c r="AA28" s="52"/>
      <x:c r="AB28" s="52" t="str">
        <x:v>Published by provider</x:v>
      </x:c>
      <x:c r="AC28" s="53" t="str">
        <x:v>15 February 2027</x:v>
      </x:c>
    </x:row>
    <x:row r="29" ht="48" customHeight="1">
      <x:c r="A29" s="45" t="str">
        <x:v>Ara Institute of Canterbury</x:v>
      </x:c>
      <x:c r="B29" s="46" t="str">
        <x:v>Ara</x:v>
      </x:c>
      <x:c r="C29" s="46" t="str">
        <x:v>Business &amp; Management</x:v>
      </x:c>
      <x:c r="D29" s="46" t="str">
        <x:v>New Zealand Certificate in Animal Management with Companion Animal Strand</x:v>
      </x:c>
      <x:c r="E29" s="46"/>
      <x:c r="F29" s="46" t="n">
        <x:v>4</x:v>
      </x:c>
      <x:c r="G29" s="46" t="str">
        <x:v>Certificate</x:v>
      </x:c>
      <x:c r="H29" s="46" t="str">
        <x:v>On campus / in-person (may include blended components)</x:v>
      </x:c>
      <x:c r="I29" s="46" t="str">
        <x:v>Yes — provider publishes international/on-campus availability</x:v>
      </x:c>
      <x:c r="J29" s="46" t="str">
        <x:v>Madras Street Campus</x:v>
      </x:c>
      <x:c r="K29" s="46" t="str">
        <x:v>1 Year</x:v>
      </x:c>
      <x:c r="L29" s="46"/>
      <x:c r="M29" s="46" t="str">
        <x:v>22 February 2027</x:v>
      </x:c>
      <x:c r="N29" s="46" t="str">
        <x:v>$26,572 per year</x:v>
      </x:c>
      <x:c r="O29" s="46" t="str">
        <x:v>per year</x:v>
      </x:c>
      <x:c r="P29" s="46" t="str">
        <x:v>2026</x:v>
      </x:c>
      <x:c r="Q29" s="46" t="str">
        <x:v>Not published; 2026 fee shown only</x:v>
      </x:c>
      <x:c r="R29" s="46" t="str">
        <x:v>40 credits at NCEA Level 1, including 10 Literacy credits and 10 Numeracy credits; or a recognised equivalent;OR a relevant qualification at NZQF Level 2 or above;OR a recognised equivalent qualificationIf you have undertaken examinations other than NCEA (e.g. International Baccalaureate, Cambridge Examination), Ara will assess your qualification for academic entry equivalency. Additional Requirements In addition you need to:All applicants must complete a health declaration and declaration of any criminal conviction to ensure fitness to practice prior to acceptance into the programme.*Convictions of any offence may not necessarily exclude applicants from enrolment. Any decision is made on a case-by-case basis at the discretion of the delegated authority.</x:v>
      </x:c>
      <x:c r="S29"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29" s="46"/>
      <x:c r="U29" s="46" t="str">
        <x:v>Ara funding assistance page; no automatic international award confirmed unless stated on the programme page.</x:v>
      </x:c>
      <x:c r="V29" s="59" t="str">
        <x:v>https://www.ara.ac.nz/products/programme/nz2489-stru-new-zealand-certificate-in-animal-management-with-companion-animal-strand/</x:v>
      </x:c>
      <x:c r="W29" s="59" t="str">
        <x:v>https://search.ara.ac.nz/siteassets/documents---home/study/priority-learning-groups/international-students/international-brochures--study-guide/international-prospectus-2026.pdf</x:v>
      </x:c>
      <x:c r="X29" s="46" t="str">
        <x:v>2026-07-29</x:v>
      </x:c>
      <x:c r="Y29" s="46" t="str">
        <x:v>Double-checked: live programme page + official international source</x:v>
      </x:c>
      <x:c r="Z29" s="46" t="str">
        <x:v>Live page explicitly states the programme may be available for a Study Visa. 2027 fee not inferred from 2026.</x:v>
      </x:c>
      <x:c r="AA29" s="46"/>
      <x:c r="AB29" s="46" t="str">
        <x:v>Published by provider</x:v>
      </x:c>
      <x:c r="AC29" s="47" t="str">
        <x:v>22 February 2027</x:v>
      </x:c>
    </x:row>
    <x:row r="30" ht="48" customHeight="1">
      <x:c r="A30" s="51" t="str">
        <x:v>Ara Institute of Canterbury</x:v>
      </x:c>
      <x:c r="B30" s="52" t="str">
        <x:v>Ara</x:v>
      </x:c>
      <x:c r="C30" s="52" t="str">
        <x:v>Computing &amp; IT</x:v>
      </x:c>
      <x:c r="D30" s="52" t="str">
        <x:v>New Zealand Diploma in Cybersecurity (Level 6)</x:v>
      </x:c>
      <x:c r="E30" s="52"/>
      <x:c r="F30" s="52" t="n">
        <x:v>6</x:v>
      </x:c>
      <x:c r="G30" s="52" t="str">
        <x:v>Diploma</x:v>
      </x:c>
      <x:c r="H30" s="52" t="str">
        <x:v>On campus / in-person (may include blended components)</x:v>
      </x:c>
      <x:c r="I30" s="52" t="str">
        <x:v>Yes — provider publishes international/on-campus availability</x:v>
      </x:c>
      <x:c r="J30" s="52" t="str">
        <x:v>Madras Street Campus</x:v>
      </x:c>
      <x:c r="K30" s="52" t="str">
        <x:v>1 Year (part-time options available)</x:v>
      </x:c>
      <x:c r="L30" s="52"/>
      <x:c r="M30" s="52" t="str">
        <x:v>15 February 2027; 19 July 2027</x:v>
      </x:c>
      <x:c r="N30" s="52" t="str">
        <x:v>$26,572 per year</x:v>
      </x:c>
      <x:c r="O30" s="52" t="str">
        <x:v>per year</x:v>
      </x:c>
      <x:c r="P30" s="52" t="str">
        <x:v>2026</x:v>
      </x:c>
      <x:c r="Q30" s="52" t="str">
        <x:v>Not published; 2026 fee shown only</x:v>
      </x:c>
      <x:c r="R30" s="52" t="str">
        <x:v>New Zealand Diploma in Information Technology Technical Support (Level 5)OR one of the following:New Zealand Diploma in Information Systems (Level 5)New Zealand Diploma in Software Development (Level 6)You have completed the first year of an IT degree or have equivalent knowledge, skills and experience Additional Requirements Consent to Disclosure of Information:Provide Ara with a detailed criminal record check sourced through the Ministry of Justice and advise Ara of any current charges or pending court matters.Provide a chronological summary of your work history, if any, for the preceding 5 years andthe name of any professional organisations and/or licensing authorities and/or registration authorities that you are a member of or been licensed by and that may be relevant to any proposed i</x:v>
      </x:c>
      <x:c r="S30"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0" s="52"/>
      <x:c r="U30" s="52" t="str">
        <x:v>Ara funding assistance page; no automatic international award confirmed unless stated on the programme page.</x:v>
      </x:c>
      <x:c r="V30" s="58" t="str">
        <x:v>https://www.ara.ac.nz/products/programme/nz3837-stru-new-zealand-diploma-in-cybersecurity-level-6/</x:v>
      </x:c>
      <x:c r="W30" s="58" t="str">
        <x:v>https://search.ara.ac.nz/siteassets/documents---home/study/priority-learning-groups/international-students/international-brochures--study-guide/international-prospectus-2026.pdf</x:v>
      </x:c>
      <x:c r="X30" s="52" t="str">
        <x:v>2026-07-29</x:v>
      </x:c>
      <x:c r="Y30" s="52" t="str">
        <x:v>Double-checked: live programme page + official international source</x:v>
      </x:c>
      <x:c r="Z30" s="52" t="str">
        <x:v>Live page explicitly states the programme may be available for a Study Visa. 2027 fee not inferred from 2026.</x:v>
      </x:c>
      <x:c r="AA30" s="52"/>
      <x:c r="AB30" s="52" t="str">
        <x:v>Published by provider</x:v>
      </x:c>
      <x:c r="AC30" s="53" t="str">
        <x:v>15 February 2027; 19 July 2027</x:v>
      </x:c>
    </x:row>
    <x:row r="31" ht="48" customHeight="1">
      <x:c r="A31" s="45" t="str">
        <x:v>Ara Institute of Canterbury</x:v>
      </x:c>
      <x:c r="B31" s="46" t="str">
        <x:v>Ara</x:v>
      </x:c>
      <x:c r="C31" s="46" t="str">
        <x:v>Computing &amp; IT</x:v>
      </x:c>
      <x:c r="D31" s="46" t="str">
        <x:v>New Zealand Certificate in Information Technology Essentials</x:v>
      </x:c>
      <x:c r="E31" s="46"/>
      <x:c r="F31" s="46" t="n">
        <x:v>4</x:v>
      </x:c>
      <x:c r="G31" s="46" t="str">
        <x:v>Certificate</x:v>
      </x:c>
      <x:c r="H31" s="46" t="str">
        <x:v>On campus / in-person (may include blended components)</x:v>
      </x:c>
      <x:c r="I31" s="46" t="str">
        <x:v>Yes — provider publishes international/on-campus availability</x:v>
      </x:c>
      <x:c r="J31" s="46" t="str">
        <x:v>Madras Street Campus</x:v>
      </x:c>
      <x:c r="K31" s="46" t="str">
        <x:v>19 Weeks (part-time options available)</x:v>
      </x:c>
      <x:c r="L31" s="46"/>
      <x:c r="M31" s="46" t="str">
        <x:v>15 February 2027</x:v>
      </x:c>
      <x:c r="N31" s="46" t="str">
        <x:v>$13,286 per year</x:v>
      </x:c>
      <x:c r="O31" s="46" t="str">
        <x:v>per year</x:v>
      </x:c>
      <x:c r="P31" s="46" t="str">
        <x:v>2026</x:v>
      </x:c>
      <x:c r="Q31" s="46" t="str">
        <x:v>Not published; 2026 fee shown only</x:v>
      </x:c>
      <x:c r="R31" s="46" t="str">
        <x:v>40 credits NCEA Level 1, including 10 literacy credits and 10 numeracy creditsOR New Zealand Certificate in Computing (Intermediate User) Level 3If you have undertaken examinations other than NCEA (e.g. International Baccalaureate, Cambridge Examination), Ara will assess your qualification for academic entry equivalency.</x:v>
      </x:c>
      <x:c r="S31"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1" s="46"/>
      <x:c r="U31" s="46" t="str">
        <x:v>Ara funding assistance page; no automatic international award confirmed unless stated on the programme page.</x:v>
      </x:c>
      <x:c r="V31" s="59" t="str">
        <x:v>https://www.ara.ac.nz/products/programme/nz2594-stru-new-zealand-certificate-in-information-technology-essentials-level-4/</x:v>
      </x:c>
      <x:c r="W31" s="59" t="str">
        <x:v>https://search.ara.ac.nz/siteassets/documents---home/study/priority-learning-groups/international-students/international-brochures--study-guide/international-prospectus-2026.pdf</x:v>
      </x:c>
      <x:c r="X31" s="46" t="str">
        <x:v>2026-07-29</x:v>
      </x:c>
      <x:c r="Y31" s="46" t="str">
        <x:v>Double-checked: live programme page + official international source</x:v>
      </x:c>
      <x:c r="Z31" s="46" t="str">
        <x:v>Live page explicitly states the programme may be available for a Study Visa. 2027 fee not inferred from 2026.</x:v>
      </x:c>
      <x:c r="AA31" s="46"/>
      <x:c r="AB31" s="46" t="str">
        <x:v>Published by provider</x:v>
      </x:c>
      <x:c r="AC31" s="47" t="str">
        <x:v>15 February 2027</x:v>
      </x:c>
    </x:row>
    <x:row r="32" ht="48" customHeight="1">
      <x:c r="A32" s="51" t="str">
        <x:v>Ara Institute of Canterbury</x:v>
      </x:c>
      <x:c r="B32" s="52" t="str">
        <x:v>Ara</x:v>
      </x:c>
      <x:c r="C32" s="52" t="str">
        <x:v>Construction &amp; Architecture</x:v>
      </x:c>
      <x:c r="D32" s="52" t="str">
        <x:v>Bachelor of Architectural Studies</x:v>
      </x:c>
      <x:c r="E32" s="52"/>
      <x:c r="F32" s="52" t="n">
        <x:v>7</x:v>
      </x:c>
      <x:c r="G32" s="52" t="str">
        <x:v>Bachelor's Degree</x:v>
      </x:c>
      <x:c r="H32" s="52" t="str">
        <x:v>On campus / in-person (may include blended components)</x:v>
      </x:c>
      <x:c r="I32" s="52" t="str">
        <x:v>Yes — provider publishes international/on-campus availability</x:v>
      </x:c>
      <x:c r="J32" s="52" t="str">
        <x:v>Madras Street Campus</x:v>
      </x:c>
      <x:c r="K32" s="52" t="str">
        <x:v>3 years full-time</x:v>
      </x:c>
      <x:c r="L32" s="52"/>
      <x:c r="M32" s="52" t="str">
        <x:v>22 February 2027</x:v>
      </x:c>
      <x:c r="N32" s="52" t="str">
        <x:v>$26,572 per year</x:v>
      </x:c>
      <x:c r="O32" s="52" t="str">
        <x:v>per year</x:v>
      </x:c>
      <x:c r="P32" s="52" t="str">
        <x:v>2026</x:v>
      </x:c>
      <x:c r="Q32" s="52" t="str">
        <x:v>Not published; 2026 fee shown only</x:v>
      </x:c>
      <x:c r="R32" s="52" t="str">
        <x:v>University Entrance as defined by the New Zealand Qualification Authority (NZQA), and which must include:14 credits at NCEA Level 3 in each of the three approved* subjectsOR New Zealand Certificate in Study and Employment Pathways (Level 4) Open Pathway or equivalent.If you have undertaken examinations other than NCEA (e.g. International Baccalaureate, Cambridge Examination), Ara will assess your qualification for academic entry equivalency.* NZQA approved subjects: see https://www2.nzqa.govt.nz/ncea/understanding-secondary-quals/university-entrance/ Additional Requirements All applicants must provide a portfolio demonstrating design, graphic and/or art skills.</x:v>
      </x:c>
      <x:c r="S32"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2" s="52"/>
      <x:c r="U32" s="52" t="str">
        <x:v>Ara funding assistance page; no automatic international award confirmed unless stated on the programme page.</x:v>
      </x:c>
      <x:c r="V32" s="58" t="str">
        <x:v>https://www.ara.ac.nz/products/programme/ch3900-arch-bachelor-of-architectural-studies/</x:v>
      </x:c>
      <x:c r="W32" s="58" t="str">
        <x:v>https://search.ara.ac.nz/siteassets/documents---home/study/priority-learning-groups/international-students/international-brochures--study-guide/international-prospectus-2026.pdf</x:v>
      </x:c>
      <x:c r="X32" s="52" t="str">
        <x:v>2026-07-29</x:v>
      </x:c>
      <x:c r="Y32" s="52" t="str">
        <x:v>Double-checked: live programme page + official international source</x:v>
      </x:c>
      <x:c r="Z32" s="52" t="str">
        <x:v>Live page explicitly states the programme may be available for a Study Visa. 2027 fee not inferred from 2026.</x:v>
      </x:c>
      <x:c r="AA32" s="52"/>
      <x:c r="AB32" s="52" t="str">
        <x:v>Published by provider</x:v>
      </x:c>
      <x:c r="AC32" s="53" t="str">
        <x:v>22 February 2027</x:v>
      </x:c>
    </x:row>
    <x:row r="33" ht="48" customHeight="1">
      <x:c r="A33" s="45" t="str">
        <x:v>Ara Institute of Canterbury</x:v>
      </x:c>
      <x:c r="B33" s="46" t="str">
        <x:v>Ara</x:v>
      </x:c>
      <x:c r="C33" s="46" t="str">
        <x:v>Construction &amp; Architecture</x:v>
      </x:c>
      <x:c r="D33" s="46" t="str">
        <x:v>Bachelor of Construction (Quantity Surveying)</x:v>
      </x:c>
      <x:c r="E33" s="46"/>
      <x:c r="F33" s="46" t="n">
        <x:v>7</x:v>
      </x:c>
      <x:c r="G33" s="46" t="str">
        <x:v>Bachelor's Degree</x:v>
      </x:c>
      <x:c r="H33" s="46" t="str">
        <x:v>On campus / in-person (may include blended components)</x:v>
      </x:c>
      <x:c r="I33" s="46" t="str">
        <x:v>Yes — provider publishes international/on-campus availability</x:v>
      </x:c>
      <x:c r="J33" s="46" t="str">
        <x:v>Madras Street Campus</x:v>
      </x:c>
      <x:c r="K33" s="46" t="str">
        <x:v>3 Years (part-time options available)</x:v>
      </x:c>
      <x:c r="L33" s="46"/>
      <x:c r="M33" s="46" t="str">
        <x:v>15 February 2027; 19 July 2027</x:v>
      </x:c>
      <x:c r="N33" s="46" t="str">
        <x:v>$26,572 per year</x:v>
      </x:c>
      <x:c r="O33" s="46" t="str">
        <x:v>per year</x:v>
      </x:c>
      <x:c r="P33" s="46" t="str">
        <x:v>2026</x:v>
      </x:c>
      <x:c r="Q33" s="46" t="str">
        <x:v>Not published; 2026 fee shown only</x:v>
      </x:c>
      <x:c r="R33" s="46" t="str">
        <x:v>University Entrance as specified by the New Zealand Qualifications Authority (NZQA) including:Mathematics - 12 credits in Maths at Level 2 or above (Excluding Statistics).Or New Zealand Certificate in Study and Employment Pathways (Level 4) Construction and ICT Pathway or equivalent.If you have undertaken examinations other than NCEA (e.g. International Baccalaureate, Cambridge Examination), Ara will assess your qualification for academic entry equivalency.* NZQA approved subjects: see https://www2.nzqa.govt.nz/ncea/understanding-secondary-quals/university-entrance/</x:v>
      </x:c>
      <x:c r="S33"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3" s="46"/>
      <x:c r="U33" s="46" t="str">
        <x:v>Ara funding assistance page; no automatic international award confirmed unless stated on the programme page.</x:v>
      </x:c>
      <x:c r="V33" s="59" t="str">
        <x:v>https://www.ara.ac.nz/products/programme/ch4060-qnty-bachelor-of-construction-quantity-surveying/</x:v>
      </x:c>
      <x:c r="W33" s="59" t="str">
        <x:v>https://search.ara.ac.nz/siteassets/documents---home/study/priority-learning-groups/international-students/international-brochures--study-guide/international-prospectus-2026.pdf</x:v>
      </x:c>
      <x:c r="X33" s="46" t="str">
        <x:v>2026-07-29</x:v>
      </x:c>
      <x:c r="Y33" s="46" t="str">
        <x:v>Double-checked: live programme page + official international source</x:v>
      </x:c>
      <x:c r="Z33" s="46" t="str">
        <x:v>Live page explicitly states the programme may be available for a Study Visa. 2027 fee not inferred from 2026.</x:v>
      </x:c>
      <x:c r="AA33" s="46"/>
      <x:c r="AB33" s="46" t="str">
        <x:v>Published by provider</x:v>
      </x:c>
      <x:c r="AC33" s="47" t="str">
        <x:v>15 February 2027; 19 July 2027</x:v>
      </x:c>
    </x:row>
    <x:row r="34" ht="48" customHeight="1">
      <x:c r="A34" s="51" t="str">
        <x:v>Ara Institute of Canterbury</x:v>
      </x:c>
      <x:c r="B34" s="52" t="str">
        <x:v>Ara</x:v>
      </x:c>
      <x:c r="C34" s="52" t="str">
        <x:v>Construction &amp; Architecture</x:v>
      </x:c>
      <x:c r="D34" s="52" t="str">
        <x:v>New Zealand Diploma in Architectural Technology</x:v>
      </x:c>
      <x:c r="E34" s="52"/>
      <x:c r="F34" s="52" t="n">
        <x:v>6</x:v>
      </x:c>
      <x:c r="G34" s="52" t="str">
        <x:v>Diploma</x:v>
      </x:c>
      <x:c r="H34" s="52" t="str">
        <x:v>On campus / in-person (may include blended components)</x:v>
      </x:c>
      <x:c r="I34" s="52" t="str">
        <x:v>Yes — provider publishes international/on-campus availability</x:v>
      </x:c>
      <x:c r="J34" s="52" t="str">
        <x:v>Madras Street Campus</x:v>
      </x:c>
      <x:c r="K34" s="52" t="str">
        <x:v>2 Years</x:v>
      </x:c>
      <x:c r="L34" s="52"/>
      <x:c r="M34" s="52" t="str">
        <x:v>22 February 2027; 19 July 2027</x:v>
      </x:c>
      <x:c r="N34" s="52" t="str">
        <x:v>$23,672 per year</x:v>
      </x:c>
      <x:c r="O34" s="52" t="str">
        <x:v>per year</x:v>
      </x:c>
      <x:c r="P34" s="52" t="str">
        <x:v>2026</x:v>
      </x:c>
      <x:c r="Q34" s="52" t="str">
        <x:v>Not published; 2026 fee shown only</x:v>
      </x:c>
      <x:c r="R34" s="52" t="str">
        <x:v>A minimum of 50 NCEA credits at Level 2 and a minimum of 12 credits in NCEA mathematics (or Pangarau) Level 1 and 12 literacy credits at NCEA Level 1OR a relevant qualification at NZQF Level 4 or aboveOR a recognised equivalentIf you have undertaken examinations other than NCEA (e.g. International Baccalaureate, Cambridge Examination), Ara will assess your qualification for academic entry equivalency.</x:v>
      </x:c>
      <x:c r="S34"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4" s="52"/>
      <x:c r="U34" s="52" t="str">
        <x:v>Ara funding assistance page; no automatic international award confirmed unless stated on the programme page.</x:v>
      </x:c>
      <x:c r="V34" s="58" t="str">
        <x:v>https://www.ara.ac.nz/products/programme/nz2416-stru-new-zealand-diploma-in-architectural-technology/</x:v>
      </x:c>
      <x:c r="W34" s="58" t="str">
        <x:v>https://search.ara.ac.nz/siteassets/documents---home/study/priority-learning-groups/international-students/international-brochures--study-guide/international-prospectus-2026.pdf</x:v>
      </x:c>
      <x:c r="X34" s="52" t="str">
        <x:v>2026-07-29</x:v>
      </x:c>
      <x:c r="Y34" s="52" t="str">
        <x:v>Double-checked: live programme page + official international source</x:v>
      </x:c>
      <x:c r="Z34" s="52" t="str">
        <x:v>Live page explicitly states the programme may be available for a Study Visa. 2027 fee not inferred from 2026.</x:v>
      </x:c>
      <x:c r="AA34" s="52"/>
      <x:c r="AB34" s="52" t="str">
        <x:v>Published by provider</x:v>
      </x:c>
      <x:c r="AC34" s="53" t="str">
        <x:v>22 February 2027; 19 July 2027</x:v>
      </x:c>
    </x:row>
    <x:row r="35" ht="48" customHeight="1">
      <x:c r="A35" s="45" t="str">
        <x:v>Ara Institute of Canterbury</x:v>
      </x:c>
      <x:c r="B35" s="46" t="str">
        <x:v>Ara</x:v>
      </x:c>
      <x:c r="C35" s="46" t="str">
        <x:v>Construction &amp; Architecture</x:v>
      </x:c>
      <x:c r="D35" s="46" t="str">
        <x:v>New Zealand Diploma in Construction (Quantity Surveying)</x:v>
      </x:c>
      <x:c r="E35" s="46"/>
      <x:c r="F35" s="46" t="n">
        <x:v>6</x:v>
      </x:c>
      <x:c r="G35" s="46" t="str">
        <x:v>Diploma</x:v>
      </x:c>
      <x:c r="H35" s="46" t="str">
        <x:v>On campus / in-person (may include blended components)</x:v>
      </x:c>
      <x:c r="I35" s="46" t="str">
        <x:v>Yes — provider publishes international/on-campus availability</x:v>
      </x:c>
      <x:c r="J35" s="46" t="str">
        <x:v>Madras Street Campus</x:v>
      </x:c>
      <x:c r="K35" s="46" t="str">
        <x:v>2 Years (part-time options available)</x:v>
      </x:c>
      <x:c r="L35" s="46"/>
      <x:c r="M35" s="46" t="str">
        <x:v>22 February 2027; 19 July 2027</x:v>
      </x:c>
      <x:c r="N35" s="46" t="str">
        <x:v>$23,672 per year</x:v>
      </x:c>
      <x:c r="O35" s="46" t="str">
        <x:v>per year</x:v>
      </x:c>
      <x:c r="P35" s="46" t="str">
        <x:v>2026</x:v>
      </x:c>
      <x:c r="Q35" s="46" t="str">
        <x:v>Not published; 2026 fee shown only</x:v>
      </x:c>
      <x:c r="R35" s="46" t="str">
        <x:v>NCEA Level 2 including mathematics and NCEA Level 1 including Literacy;OR a relevant qualification at NZQF Level 4 or aboveOR a recognised equivalentIf you have undertaken examinations other than NCEA (e.g. International Baccalaureate, Cambridge Examination), Ara will assess your qualification for academic entry equivalency.</x:v>
      </x:c>
      <x:c r="S35"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5" s="46"/>
      <x:c r="U35" s="46" t="str">
        <x:v>Ara funding assistance page; no automatic international award confirmed unless stated on the programme page.</x:v>
      </x:c>
      <x:c r="V35" s="59" t="str">
        <x:v>https://www.ara.ac.nz/products/programme/nz2420-quan-new-zealand-diploma-in-construction-with-strand-in-quantity-surveying/</x:v>
      </x:c>
      <x:c r="W35" s="59" t="str">
        <x:v>https://search.ara.ac.nz/siteassets/documents---home/study/priority-learning-groups/international-students/international-brochures--study-guide/international-prospectus-2026.pdf</x:v>
      </x:c>
      <x:c r="X35" s="46" t="str">
        <x:v>2026-07-29</x:v>
      </x:c>
      <x:c r="Y35" s="46" t="str">
        <x:v>Double-checked: live programme page + official international source</x:v>
      </x:c>
      <x:c r="Z35" s="46" t="str">
        <x:v>Live page explicitly states the programme may be available for a Study Visa. 2027 fee not inferred from 2026.</x:v>
      </x:c>
      <x:c r="AA35" s="46"/>
      <x:c r="AB35" s="46" t="str">
        <x:v>Published by provider</x:v>
      </x:c>
      <x:c r="AC35" s="47" t="str">
        <x:v>22 February 2027; 19 July 2027</x:v>
      </x:c>
    </x:row>
    <x:row r="36" ht="48" customHeight="1">
      <x:c r="A36" s="51" t="str">
        <x:v>Ara Institute of Canterbury</x:v>
      </x:c>
      <x:c r="B36" s="52" t="str">
        <x:v>Ara</x:v>
      </x:c>
      <x:c r="C36" s="52" t="str">
        <x:v>Construction &amp; Architecture</x:v>
      </x:c>
      <x:c r="D36" s="52" t="str">
        <x:v>New Zealand Certificate in Study and Employment (Level 4) Construction &amp; ICT Pathway</x:v>
      </x:c>
      <x:c r="E36" s="52"/>
      <x:c r="F36" s="52" t="n">
        <x:v>4</x:v>
      </x:c>
      <x:c r="G36" s="52" t="str">
        <x:v>Certificate</x:v>
      </x:c>
      <x:c r="H36" s="52" t="str">
        <x:v>On campus / in-person (may include blended components)</x:v>
      </x:c>
      <x:c r="I36" s="52" t="str">
        <x:v>Yes — provider publishes international/on-campus availability</x:v>
      </x:c>
      <x:c r="J36" s="52" t="str">
        <x:v>Madras Street Campus</x:v>
      </x:c>
      <x:c r="K36" s="52" t="str">
        <x:v>19 Weeks (part-time options available)</x:v>
      </x:c>
      <x:c r="L36" s="52"/>
      <x:c r="M36" s="52" t="str">
        <x:v>15 February 2027; 19 July 2027</x:v>
      </x:c>
      <x:c r="N36" s="52" t="str">
        <x:v>$13,286 per year</x:v>
      </x:c>
      <x:c r="O36" s="52" t="str">
        <x:v>per year</x:v>
      </x:c>
      <x:c r="P36" s="52" t="str">
        <x:v>2026</x:v>
      </x:c>
      <x:c r="Q36" s="52" t="str">
        <x:v>Not published; 2026 fee shown only</x:v>
      </x:c>
      <x:c r="R36" s="52" t="str">
        <x:v>, then you can also go into following programmes: Bachelor of Construction (Quantity Surveying) Bachelor of Construction (Construction Management) Bachelor of Information Technology (General) Bachelor of Information Technology (Data Engineering) Bachelor of Information Technology (Software Engineering) Bachelor of Information Technology (Network Engineering) Available part-time up to 2 years. Disclaimer: Ara’s Zero Fees promotion applies only to selected eligible Semester 2 (2026) certificate programmes for domestic students. The promotion applies to new</x:v>
      </x:c>
      <x:c r="S36"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6" s="52"/>
      <x:c r="U36" s="52" t="str">
        <x:v>Ara funding assistance page; no automatic international award confirmed unless stated on the programme page.</x:v>
      </x:c>
      <x:c r="V36" s="58" t="str">
        <x:v>https://www.ara.ac.nz/products/programme/nz2860-cpc-new-zealand-certificate-in-study-and-employment-level-4-construction-ict-pathway/</x:v>
      </x:c>
      <x:c r="W36" s="58" t="str">
        <x:v>https://search.ara.ac.nz/siteassets/documents---home/study/priority-learning-groups/international-students/international-brochures--study-guide/international-prospectus-2026.pdf</x:v>
      </x:c>
      <x:c r="X36" s="52" t="str">
        <x:v>2026-07-29</x:v>
      </x:c>
      <x:c r="Y36" s="52" t="str">
        <x:v>Double-checked: live programme page + official international source</x:v>
      </x:c>
      <x:c r="Z36" s="52" t="str">
        <x:v>Live page explicitly states the programme may be available for a Study Visa. 2027 fee not inferred from 2026.</x:v>
      </x:c>
      <x:c r="AA36" s="52"/>
      <x:c r="AB36" s="52" t="str">
        <x:v>Published by provider</x:v>
      </x:c>
      <x:c r="AC36" s="53" t="str">
        <x:v>15 February 2027; 19 July 2027</x:v>
      </x:c>
    </x:row>
    <x:row r="37" ht="48" customHeight="1">
      <x:c r="A37" s="45" t="str">
        <x:v>Ara Institute of Canterbury</x:v>
      </x:c>
      <x:c r="B37" s="46" t="str">
        <x:v>Ara</x:v>
      </x:c>
      <x:c r="C37" s="46" t="str">
        <x:v>Creative Arts &amp; Media</x:v>
      </x:c>
      <x:c r="D37" s="46" t="str">
        <x:v>Master of Creative Practice</x:v>
      </x:c>
      <x:c r="E37" s="46"/>
      <x:c r="F37" s="46" t="n">
        <x:v>9</x:v>
      </x:c>
      <x:c r="G37" s="46" t="str">
        <x:v>Master's Degree</x:v>
      </x:c>
      <x:c r="H37" s="46" t="str">
        <x:v>On campus / in-person (may include blended components)</x:v>
      </x:c>
      <x:c r="I37" s="46" t="str">
        <x:v>Yes — provider publishes international/on-campus availability</x:v>
      </x:c>
      <x:c r="J37" s="46" t="str">
        <x:v>Madras Street Campus</x:v>
      </x:c>
      <x:c r="K37" s="46" t="str">
        <x:v>1.5 Years (part-time options available)</x:v>
      </x:c>
      <x:c r="L37" s="46"/>
      <x:c r="M37" s="46" t="str">
        <x:v>15 February 2027</x:v>
      </x:c>
      <x:c r="N37" s="46" t="str">
        <x:v>$27,458–$27,635 per year</x:v>
      </x:c>
      <x:c r="O37" s="46" t="str">
        <x:v>See 2026 prospectus; programme dependent</x:v>
      </x:c>
      <x:c r="P37" s="46" t="str">
        <x:v>2026</x:v>
      </x:c>
      <x:c r="Q37" s="46" t="str">
        <x:v>Not published; 2026 fee shown only</x:v>
      </x:c>
      <x:c r="R37" s="46" t="str">
        <x:v>A Bachelor Honours Degree or Postgraduate Diploma or an undergraduate degree followed by relevant professional experience. (All qualifications should be in a relevant subject area.) Additional Requirements Applicants are required to undertake course advisement with an Ara staff member and complete a Postgraduate Proposal Outline form</x:v>
      </x:c>
      <x:c r="S37"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7" s="46"/>
      <x:c r="U37" s="46" t="str">
        <x:v>Ara funding assistance page; no automatic international award confirmed unless stated on the programme page.</x:v>
      </x:c>
      <x:c r="V37" s="59" t="str">
        <x:v>https://www.ara.ac.nz/products/programme/ch4077-crea-master-of-creative-practice/</x:v>
      </x:c>
      <x:c r="W37" s="59" t="str">
        <x:v>https://search.ara.ac.nz/siteassets/documents---home/study/priority-learning-groups/international-students/international-brochures--study-guide/international-prospectus-2026.pdf</x:v>
      </x:c>
      <x:c r="X37" s="46" t="str">
        <x:v>2026-07-29</x:v>
      </x:c>
      <x:c r="Y37" s="46" t="str">
        <x:v>Double-checked: live programme page + official international source</x:v>
      </x:c>
      <x:c r="Z37" s="46" t="str">
        <x:v>Live page explicitly states the programme may be available for a Study Visa. 2027 fee not inferred from 2026.</x:v>
      </x:c>
      <x:c r="AA37" s="46"/>
      <x:c r="AB37" s="46" t="str">
        <x:v>Published by provider</x:v>
      </x:c>
      <x:c r="AC37" s="47" t="str">
        <x:v>15 February 2027</x:v>
      </x:c>
    </x:row>
    <x:row r="38" ht="48" customHeight="1">
      <x:c r="A38" s="51" t="str">
        <x:v>Ara Institute of Canterbury</x:v>
      </x:c>
      <x:c r="B38" s="52" t="str">
        <x:v>Ara</x:v>
      </x:c>
      <x:c r="C38" s="52" t="str">
        <x:v>Creative Arts &amp; Media</x:v>
      </x:c>
      <x:c r="D38" s="52" t="str">
        <x:v>Postgraduate Diploma in Creative Practice</x:v>
      </x:c>
      <x:c r="E38" s="52"/>
      <x:c r="F38" s="52" t="n">
        <x:v>8</x:v>
      </x:c>
      <x:c r="G38" s="52" t="str">
        <x:v>Postgraduate Diploma</x:v>
      </x:c>
      <x:c r="H38" s="52" t="str">
        <x:v>On campus / in-person (may include blended components)</x:v>
      </x:c>
      <x:c r="I38" s="52" t="str">
        <x:v>Yes — provider publishes international/on-campus availability</x:v>
      </x:c>
      <x:c r="J38" s="52" t="str">
        <x:v>Madras Street Campus</x:v>
      </x:c>
      <x:c r="K38" s="52" t="str">
        <x:v>1 Year (part-time options available)</x:v>
      </x:c>
      <x:c r="L38" s="52"/>
      <x:c r="M38" s="52" t="str">
        <x:v>15 February 2027</x:v>
      </x:c>
      <x:c r="N38" s="52" t="str">
        <x:v>$29,229 per year</x:v>
      </x:c>
      <x:c r="O38" s="52" t="str">
        <x:v>See 2026 prospectus; programme dependent</x:v>
      </x:c>
      <x:c r="P38" s="52" t="str">
        <x:v>2026</x:v>
      </x:c>
      <x:c r="Q38" s="52" t="str">
        <x:v>Not published; 2026 fee shown only</x:v>
      </x:c>
      <x:c r="R38" s="52" t="str">
        <x:v>A Bachelor's degree in a relevant subject area. Additional Requirements Applicants are required to undertake course advisement with the Programme Leader and complete a Postgraduate Proposal Outline form</x:v>
      </x:c>
      <x:c r="S38"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8" s="52"/>
      <x:c r="U38" s="52" t="str">
        <x:v>Ara funding assistance page; no automatic international award confirmed unless stated on the programme page.</x:v>
      </x:c>
      <x:c r="V38" s="58" t="str">
        <x:v>https://www.ara.ac.nz/products/programme/ch4078-crea-postgraduate-diploma-in-creative-practice/</x:v>
      </x:c>
      <x:c r="W38" s="58" t="str">
        <x:v>https://search.ara.ac.nz/siteassets/documents---home/study/priority-learning-groups/international-students/international-brochures--study-guide/international-prospectus-2026.pdf</x:v>
      </x:c>
      <x:c r="X38" s="52" t="str">
        <x:v>2026-07-29</x:v>
      </x:c>
      <x:c r="Y38" s="52" t="str">
        <x:v>Double-checked: live programme page + official international source</x:v>
      </x:c>
      <x:c r="Z38" s="52" t="str">
        <x:v>Live page explicitly states the programme may be available for a Study Visa. 2027 fee not inferred from 2026.</x:v>
      </x:c>
      <x:c r="AA38" s="52"/>
      <x:c r="AB38" s="52" t="str">
        <x:v>Published by provider</x:v>
      </x:c>
      <x:c r="AC38" s="53" t="str">
        <x:v>15 February 2027</x:v>
      </x:c>
    </x:row>
    <x:row r="39" ht="48" customHeight="1">
      <x:c r="A39" s="45" t="str">
        <x:v>Ara Institute of Canterbury</x:v>
      </x:c>
      <x:c r="B39" s="46" t="str">
        <x:v>Ara</x:v>
      </x:c>
      <x:c r="C39" s="46" t="str">
        <x:v>Creative Arts &amp; Media</x:v>
      </x:c>
      <x:c r="D39" s="46" t="str">
        <x:v>Bachelor of Broadcasting Communications (Journalism)</x:v>
      </x:c>
      <x:c r="E39" s="46"/>
      <x:c r="F39" s="46" t="n">
        <x:v>7</x:v>
      </x:c>
      <x:c r="G39" s="46" t="str">
        <x:v>Bachelor's Degree</x:v>
      </x:c>
      <x:c r="H39" s="46" t="str">
        <x:v>On campus / in-person (may include blended components)</x:v>
      </x:c>
      <x:c r="I39" s="46" t="str">
        <x:v>Yes — provider publishes international/on-campus availability</x:v>
      </x:c>
      <x:c r="J39" s="46" t="str">
        <x:v>Madras Street Campus</x:v>
      </x:c>
      <x:c r="K39" s="46" t="str">
        <x:v>3 Years</x:v>
      </x:c>
      <x:c r="L39" s="46"/>
      <x:c r="M39" s="46" t="str">
        <x:v>08 February 2027</x:v>
      </x:c>
      <x:c r="N39" s="46" t="str">
        <x:v>$26,572 per year</x:v>
      </x:c>
      <x:c r="O39" s="46" t="str">
        <x:v>per year</x:v>
      </x:c>
      <x:c r="P39" s="46" t="str">
        <x:v>2026</x:v>
      </x:c>
      <x:c r="Q39" s="46" t="str">
        <x:v>Not published; 2026 fee shown only</x:v>
      </x:c>
      <x:c r="R39" s="46" t="str">
        <x:v>University Entrance as specified by the New Zealand Qualifications Authority (NZQA)OR Certificate in University Preparation (CUP)If you have undertaken examinations other than NCEA (e.g. International Baccalaureate, Cambridge Examination), Ara will assess your qualification for academic entry equivalency.</x:v>
      </x:c>
      <x:c r="S39"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39" s="46"/>
      <x:c r="U39" s="46" t="str">
        <x:v>Ara funding assistance page; no automatic international award confirmed unless stated on the programme page.</x:v>
      </x:c>
      <x:c r="V39" s="59" t="str">
        <x:v>https://www.ara.ac.nz/products/programme/ch3714-jour-bachelor-of-broadcasting-communications-journalism/</x:v>
      </x:c>
      <x:c r="W39" s="59" t="str">
        <x:v>https://search.ara.ac.nz/siteassets/documents---home/study/priority-learning-groups/international-students/international-brochures--study-guide/international-prospectus-2026.pdf</x:v>
      </x:c>
      <x:c r="X39" s="46" t="str">
        <x:v>2026-07-29</x:v>
      </x:c>
      <x:c r="Y39" s="46" t="str">
        <x:v>Double-checked: live programme page + official international source</x:v>
      </x:c>
      <x:c r="Z39" s="46" t="str">
        <x:v>Live page explicitly states the programme may be available for a Study Visa. 2027 fee not inferred from 2026.</x:v>
      </x:c>
      <x:c r="AA39" s="46"/>
      <x:c r="AB39" s="46" t="str">
        <x:v>Published by provider</x:v>
      </x:c>
      <x:c r="AC39" s="47" t="str">
        <x:v>08 February 2027</x:v>
      </x:c>
    </x:row>
    <x:row r="40" ht="48" customHeight="1">
      <x:c r="A40" s="51" t="str">
        <x:v>Ara Institute of Canterbury</x:v>
      </x:c>
      <x:c r="B40" s="52" t="str">
        <x:v>Ara</x:v>
      </x:c>
      <x:c r="C40" s="52" t="str">
        <x:v>Creative Arts &amp; Media</x:v>
      </x:c>
      <x:c r="D40" s="52" t="str">
        <x:v>Bachelor of Broadcasting Communications (Radio)</x:v>
      </x:c>
      <x:c r="E40" s="52"/>
      <x:c r="F40" s="52" t="n">
        <x:v>7</x:v>
      </x:c>
      <x:c r="G40" s="52" t="str">
        <x:v>Bachelor's Degree</x:v>
      </x:c>
      <x:c r="H40" s="52" t="str">
        <x:v>On campus / in-person (may include blended components)</x:v>
      </x:c>
      <x:c r="I40" s="52" t="str">
        <x:v>Yes — provider publishes international/on-campus availability</x:v>
      </x:c>
      <x:c r="J40" s="52" t="str">
        <x:v>Madras Street Campus</x:v>
      </x:c>
      <x:c r="K40" s="52" t="str">
        <x:v>3 Years</x:v>
      </x:c>
      <x:c r="L40" s="52"/>
      <x:c r="M40" s="52" t="str">
        <x:v>08 February 2027</x:v>
      </x:c>
      <x:c r="N40" s="52" t="str">
        <x:v>$26,572 per year</x:v>
      </x:c>
      <x:c r="O40" s="52" t="str">
        <x:v>per year</x:v>
      </x:c>
      <x:c r="P40" s="52" t="str">
        <x:v>2026</x:v>
      </x:c>
      <x:c r="Q40" s="52" t="str">
        <x:v>Not published; 2026 fee shown only</x:v>
      </x:c>
      <x:c r="R40" s="52" t="str">
        <x:v>University Entrance as specified by the New Zealand Qualifications Authority (NZQA)OR Certificate in University Preparation (CUP)If you have undertaken examinations other than NCEA (e.g. International Baccalaureate, Cambridge Examination), Ara will assess your qualification for academic entry equivalency.</x:v>
      </x:c>
      <x:c r="S40"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0" s="52"/>
      <x:c r="U40" s="52" t="str">
        <x:v>Ara funding assistance page; no automatic international award confirmed unless stated on the programme page.</x:v>
      </x:c>
      <x:c r="V40" s="58" t="str">
        <x:v>https://www.ara.ac.nz/products/programme/ch3714-radi-bachelor-of-broadcasting-communications-radio/</x:v>
      </x:c>
      <x:c r="W40" s="58" t="str">
        <x:v>https://search.ara.ac.nz/siteassets/documents---home/study/priority-learning-groups/international-students/international-brochures--study-guide/international-prospectus-2026.pdf</x:v>
      </x:c>
      <x:c r="X40" s="52" t="str">
        <x:v>2026-07-29</x:v>
      </x:c>
      <x:c r="Y40" s="52" t="str">
        <x:v>Double-checked: live programme page + official international source</x:v>
      </x:c>
      <x:c r="Z40" s="52" t="str">
        <x:v>Live page explicitly states the programme may be available for a Study Visa. 2027 fee not inferred from 2026.</x:v>
      </x:c>
      <x:c r="AA40" s="52"/>
      <x:c r="AB40" s="52" t="str">
        <x:v>Published by provider</x:v>
      </x:c>
      <x:c r="AC40" s="53" t="str">
        <x:v>08 February 2027</x:v>
      </x:c>
    </x:row>
    <x:row r="41" ht="48" customHeight="1">
      <x:c r="A41" s="45" t="str">
        <x:v>Ara Institute of Canterbury</x:v>
      </x:c>
      <x:c r="B41" s="46" t="str">
        <x:v>Ara</x:v>
      </x:c>
      <x:c r="C41" s="46" t="str">
        <x:v>Creative Arts &amp; Media</x:v>
      </x:c>
      <x:c r="D41" s="46" t="str">
        <x:v>Bachelor of Broadcasting Communications (Screen Production)</x:v>
      </x:c>
      <x:c r="E41" s="46"/>
      <x:c r="F41" s="46" t="n">
        <x:v>7</x:v>
      </x:c>
      <x:c r="G41" s="46" t="str">
        <x:v>Bachelor's Degree</x:v>
      </x:c>
      <x:c r="H41" s="46" t="str">
        <x:v>On campus / in-person (may include blended components)</x:v>
      </x:c>
      <x:c r="I41" s="46" t="str">
        <x:v>Yes — provider publishes international/on-campus availability</x:v>
      </x:c>
      <x:c r="J41" s="46" t="str">
        <x:v>Madras Street Campus</x:v>
      </x:c>
      <x:c r="K41" s="46" t="str">
        <x:v>3 Years</x:v>
      </x:c>
      <x:c r="L41" s="46"/>
      <x:c r="M41" s="46" t="str">
        <x:v>08 February 2027</x:v>
      </x:c>
      <x:c r="N41" s="46" t="str">
        <x:v>$26,572 per year</x:v>
      </x:c>
      <x:c r="O41" s="46" t="str">
        <x:v>per year</x:v>
      </x:c>
      <x:c r="P41" s="46" t="str">
        <x:v>2026</x:v>
      </x:c>
      <x:c r="Q41" s="46" t="str">
        <x:v>Not published; 2026 fee shown only</x:v>
      </x:c>
      <x:c r="R41" s="46" t="str">
        <x:v>University Entrance as specified by the New Zealand Qualifications Authority (NZQA)OR Certificate in University Preparation (CUP)If you have undertaken examinations other than NCEA (e.g. International Baccalaureate, Cambridge Examination), Ara will assess your qualification for academic entry equivalency.</x:v>
      </x:c>
      <x:c r="S41"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1" s="46"/>
      <x:c r="U41" s="46" t="str">
        <x:v>Ara funding assistance page; no automatic international award confirmed unless stated on the programme page.</x:v>
      </x:c>
      <x:c r="V41" s="59" t="str">
        <x:v>https://www.ara.ac.nz/products/programme/ch3714-prod-bachelor-of-broadcasting-communications-screen-production/</x:v>
      </x:c>
      <x:c r="W41" s="59" t="str">
        <x:v>https://search.ara.ac.nz/siteassets/documents---home/study/priority-learning-groups/international-students/international-brochures--study-guide/international-prospectus-2026.pdf</x:v>
      </x:c>
      <x:c r="X41" s="46" t="str">
        <x:v>2026-07-29</x:v>
      </x:c>
      <x:c r="Y41" s="46" t="str">
        <x:v>Double-checked: live programme page + official international source</x:v>
      </x:c>
      <x:c r="Z41" s="46" t="str">
        <x:v>Live page explicitly states the programme may be available for a Study Visa. 2027 fee not inferred from 2026.</x:v>
      </x:c>
      <x:c r="AA41" s="46"/>
      <x:c r="AB41" s="46" t="str">
        <x:v>Published by provider</x:v>
      </x:c>
      <x:c r="AC41" s="47" t="str">
        <x:v>08 February 2027</x:v>
      </x:c>
    </x:row>
    <x:row r="42" ht="48" customHeight="1">
      <x:c r="A42" s="51" t="str">
        <x:v>Ara Institute of Canterbury</x:v>
      </x:c>
      <x:c r="B42" s="52" t="str">
        <x:v>Ara</x:v>
      </x:c>
      <x:c r="C42" s="52" t="str">
        <x:v>Creative Arts &amp; Media</x:v>
      </x:c>
      <x:c r="D42" s="52" t="str">
        <x:v>Bachelor of Design (Applied Visual Art)</x:v>
      </x:c>
      <x:c r="E42" s="52"/>
      <x:c r="F42" s="52" t="n">
        <x:v>7</x:v>
      </x:c>
      <x:c r="G42" s="52" t="str">
        <x:v>Bachelor's Degree</x:v>
      </x:c>
      <x:c r="H42" s="52" t="str">
        <x:v>On campus / in-person (may include blended components)</x:v>
      </x:c>
      <x:c r="I42" s="52" t="str">
        <x:v>Yes — provider publishes international/on-campus availability</x:v>
      </x:c>
      <x:c r="J42" s="52" t="str">
        <x:v>Madras Street Campus</x:v>
      </x:c>
      <x:c r="K42" s="52" t="str">
        <x:v>3 Years</x:v>
      </x:c>
      <x:c r="L42" s="52"/>
      <x:c r="M42" s="52" t="str">
        <x:v>22 February 2027</x:v>
      </x:c>
      <x:c r="N42" s="52" t="str">
        <x:v>$26,572 per year</x:v>
      </x:c>
      <x:c r="O42" s="52" t="str">
        <x:v>per year</x:v>
      </x:c>
      <x:c r="P42" s="52" t="str">
        <x:v>2026</x:v>
      </x:c>
      <x:c r="Q42" s="52" t="str">
        <x:v>Not published; 2026 fee shown only</x:v>
      </x:c>
      <x:c r="R42" s="52" t="str">
        <x:v>University Entrance: NCEA Level 3 (60 credits at level 3 and 20 credits at level 2 or higher) which must include 14 credits at Level 3 in each of three approved* subjects and:Literacy* - 10 credits at Level 2 or above, made up of 5 credits in reading, 5 credits in writing,Numeracy* - 10 credits at Level 1 or above (specified achievement standards, or unit standards 26623, 26626, 26627)OR a qualification on the New Zealand Qualifications Framework at Level 4 or above in a related discipline.Due to Covid-19 disruption, if you studied and achieved NCEA Level 3 during 2020, you only need 12 credits per Level 3 subject (i.e. total of 36 credits). Literacy and Numeracy requirements remain the same* NZQA approved subjects: see https://www2.nzqa.govt.nz/ncea/understanding-secondary-quals/universit</x:v>
      </x:c>
      <x:c r="S42"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2" s="52"/>
      <x:c r="U42" s="52" t="str">
        <x:v>Ara funding assistance page; no automatic international award confirmed unless stated on the programme page.</x:v>
      </x:c>
      <x:c r="V42" s="58" t="str">
        <x:v>https://www.ara.ac.nz/products/programme/ch3756-appv-bachelor-of-design-applied-visual-art/</x:v>
      </x:c>
      <x:c r="W42" s="58" t="str">
        <x:v>https://search.ara.ac.nz/siteassets/documents---home/study/priority-learning-groups/international-students/international-brochures--study-guide/international-prospectus-2026.pdf</x:v>
      </x:c>
      <x:c r="X42" s="52" t="str">
        <x:v>2026-07-29</x:v>
      </x:c>
      <x:c r="Y42" s="52" t="str">
        <x:v>Double-checked: live programme page + official international source</x:v>
      </x:c>
      <x:c r="Z42" s="52" t="str">
        <x:v>Live page explicitly states the programme may be available for a Study Visa. 2027 fee not inferred from 2026.</x:v>
      </x:c>
      <x:c r="AA42" s="52"/>
      <x:c r="AB42" s="52" t="str">
        <x:v>Published by provider</x:v>
      </x:c>
      <x:c r="AC42" s="53" t="str">
        <x:v>22 February 2027</x:v>
      </x:c>
    </x:row>
    <x:row r="43" ht="48" customHeight="1">
      <x:c r="A43" s="45" t="str">
        <x:v>Ara Institute of Canterbury</x:v>
      </x:c>
      <x:c r="B43" s="46" t="str">
        <x:v>Ara</x:v>
      </x:c>
      <x:c r="C43" s="46" t="str">
        <x:v>Creative Arts &amp; Media</x:v>
      </x:c>
      <x:c r="D43" s="46" t="str">
        <x:v>Bachelor of Design (Fashion Technology and Design)</x:v>
      </x:c>
      <x:c r="E43" s="46"/>
      <x:c r="F43" s="46" t="n">
        <x:v>7</x:v>
      </x:c>
      <x:c r="G43" s="46" t="str">
        <x:v>Bachelor's Degree</x:v>
      </x:c>
      <x:c r="H43" s="46" t="str">
        <x:v>On campus / in-person (may include blended components)</x:v>
      </x:c>
      <x:c r="I43" s="46" t="str">
        <x:v>Yes — provider publishes international/on-campus availability</x:v>
      </x:c>
      <x:c r="J43" s="46" t="str">
        <x:v>Madras Street Campus</x:v>
      </x:c>
      <x:c r="K43" s="46" t="str">
        <x:v>3 Years</x:v>
      </x:c>
      <x:c r="L43" s="46"/>
      <x:c r="M43" s="46" t="str">
        <x:v>22 February 2027</x:v>
      </x:c>
      <x:c r="N43" s="46" t="str">
        <x:v>$26,572 per year</x:v>
      </x:c>
      <x:c r="O43" s="46" t="str">
        <x:v>per year</x:v>
      </x:c>
      <x:c r="P43" s="46" t="str">
        <x:v>2026</x:v>
      </x:c>
      <x:c r="Q43" s="46" t="str">
        <x:v>Not published; 2026 fee shown only</x:v>
      </x:c>
      <x:c r="R43" s="46" t="str">
        <x:v>University Entrance: NCEA Level 3 (60 credits at level 3 and 20 credits at level 2 or higher) which must include 14 credits at Level 3 in each of three approved* subjects and:Literacy* - 10 credits at Level 2 or above, made up of 5 credits in reading, 5 credits in writing,Numeracy* - 10 credits at Level 1 or above (specified achievement standards, or unit standards 26623, 26626, 26627)OR a qualification on the New Zealand Qualifications Framework at Level 4 or above in a related discipline.Due to Covid-19 disruption, if you studied and achieved NCEA Level 3 during 2020, you only need 12 credits per Level 3 subject (i.e. total of 36 credits). Literacy and Numeracy requirements remain the same* NZQA approved subjects: see https://www2.nzqa.govt.nz/ncea/understanding-secondary-quals/universit</x:v>
      </x:c>
      <x:c r="S43"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3" s="46"/>
      <x:c r="U43" s="46" t="str">
        <x:v>Ara funding assistance page; no automatic international award confirmed unless stated on the programme page.</x:v>
      </x:c>
      <x:c r="V43" s="59" t="str">
        <x:v>https://www.ara.ac.nz/products/programme/ch3756-ftec-bachelor-of-design-fashion-technology-and-design/</x:v>
      </x:c>
      <x:c r="W43" s="59" t="str">
        <x:v>https://search.ara.ac.nz/siteassets/documents---home/study/priority-learning-groups/international-students/international-brochures--study-guide/international-prospectus-2026.pdf</x:v>
      </x:c>
      <x:c r="X43" s="46" t="str">
        <x:v>2026-07-29</x:v>
      </x:c>
      <x:c r="Y43" s="46" t="str">
        <x:v>Double-checked: live programme page + official international source</x:v>
      </x:c>
      <x:c r="Z43" s="46" t="str">
        <x:v>Live page explicitly states the programme may be available for a Study Visa. 2027 fee not inferred from 2026.</x:v>
      </x:c>
      <x:c r="AA43" s="46"/>
      <x:c r="AB43" s="46" t="str">
        <x:v>Published by provider</x:v>
      </x:c>
      <x:c r="AC43" s="47" t="str">
        <x:v>22 February 2027</x:v>
      </x:c>
    </x:row>
    <x:row r="44" ht="48" customHeight="1">
      <x:c r="A44" s="51" t="str">
        <x:v>Ara Institute of Canterbury</x:v>
      </x:c>
      <x:c r="B44" s="52" t="str">
        <x:v>Ara</x:v>
      </x:c>
      <x:c r="C44" s="52" t="str">
        <x:v>Creative Arts &amp; Media</x:v>
      </x:c>
      <x:c r="D44" s="52" t="str">
        <x:v>Bachelor of Design (Visual Communication Design)</x:v>
      </x:c>
      <x:c r="E44" s="52"/>
      <x:c r="F44" s="52" t="n">
        <x:v>7</x:v>
      </x:c>
      <x:c r="G44" s="52" t="str">
        <x:v>Bachelor's Degree</x:v>
      </x:c>
      <x:c r="H44" s="52" t="str">
        <x:v>On campus / in-person (may include blended components)</x:v>
      </x:c>
      <x:c r="I44" s="52" t="str">
        <x:v>Yes — provider publishes international/on-campus availability</x:v>
      </x:c>
      <x:c r="J44" s="52" t="str">
        <x:v>Madras Street Campus</x:v>
      </x:c>
      <x:c r="K44" s="52" t="str">
        <x:v>3 Years</x:v>
      </x:c>
      <x:c r="L44" s="52"/>
      <x:c r="M44" s="52" t="str">
        <x:v>22 February 2027</x:v>
      </x:c>
      <x:c r="N44" s="52" t="str">
        <x:v>$26,572 per year</x:v>
      </x:c>
      <x:c r="O44" s="52" t="str">
        <x:v>per year</x:v>
      </x:c>
      <x:c r="P44" s="52" t="str">
        <x:v>2026</x:v>
      </x:c>
      <x:c r="Q44" s="52" t="str">
        <x:v>Not published; 2026 fee shown only</x:v>
      </x:c>
      <x:c r="R44" s="52" t="str">
        <x:v>University Entrance: NCEA Level 3 (60 credits at level 3 and 20 credits at level 2 or higher) which must include 14 credits at Level 3 in each of three approved* subjects and:Literacy* - 10 credits at Level 2 or above, made up of 5 credits in reading, 5 credits in writing,Numeracy* - 10 credits at Level 1 or above (specified achievement standards, or unit standards 26623, 26626, 26627)OR a qualification on the New Zealand Qualifications Framework at Level 4 or above in a related discipline.Due to Covid-19 disruption, if you studied and achieved NCEA Level 3 during 2020, you only need 12 credits per Level 3 subject (i.e. total of 36 credits). Literacy and Numeracy requirements remain the same* NZQA approved subjects: see https://www2.nzqa.govt.nz/ncea/understanding-secondary-quals/universit</x:v>
      </x:c>
      <x:c r="S44"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4" s="52"/>
      <x:c r="U44" s="52" t="str">
        <x:v>Ara funding assistance page; no automatic international award confirmed unless stated on the programme page.</x:v>
      </x:c>
      <x:c r="V44" s="58" t="str">
        <x:v>https://www.ara.ac.nz/products/programme/ch3756-vcom-bachelor-of-design-visual-communication-design/</x:v>
      </x:c>
      <x:c r="W44" s="58" t="str">
        <x:v>https://search.ara.ac.nz/siteassets/documents---home/study/priority-learning-groups/international-students/international-brochures--study-guide/international-prospectus-2026.pdf</x:v>
      </x:c>
      <x:c r="X44" s="52" t="str">
        <x:v>2026-07-29</x:v>
      </x:c>
      <x:c r="Y44" s="52" t="str">
        <x:v>Double-checked: live programme page + official international source</x:v>
      </x:c>
      <x:c r="Z44" s="52" t="str">
        <x:v>Live page explicitly states the programme may be available for a Study Visa. 2027 fee not inferred from 2026.</x:v>
      </x:c>
      <x:c r="AA44" s="52"/>
      <x:c r="AB44" s="52" t="str">
        <x:v>Published by provider</x:v>
      </x:c>
      <x:c r="AC44" s="53" t="str">
        <x:v>22 February 2027</x:v>
      </x:c>
    </x:row>
    <x:row r="45" ht="48" customHeight="1">
      <x:c r="A45" s="45" t="str">
        <x:v>Ara Institute of Canterbury</x:v>
      </x:c>
      <x:c r="B45" s="46" t="str">
        <x:v>Ara</x:v>
      </x:c>
      <x:c r="C45" s="46" t="str">
        <x:v>Creative Arts &amp; Media</x:v>
      </x:c>
      <x:c r="D45" s="46" t="str">
        <x:v>Bachelor of Music</x:v>
      </x:c>
      <x:c r="E45" s="46"/>
      <x:c r="F45" s="46" t="n">
        <x:v>7</x:v>
      </x:c>
      <x:c r="G45" s="46" t="str">
        <x:v>Bachelor's Degree</x:v>
      </x:c>
      <x:c r="H45" s="46" t="str">
        <x:v>On campus / in-person (may include blended components)</x:v>
      </x:c>
      <x:c r="I45" s="46" t="str">
        <x:v>Yes — provider publishes international/on-campus availability</x:v>
      </x:c>
      <x:c r="J45" s="46" t="str">
        <x:v>Madras Street Campus</x:v>
      </x:c>
      <x:c r="K45" s="46" t="str">
        <x:v>3 Years (part-time options available)</x:v>
      </x:c>
      <x:c r="L45" s="46"/>
      <x:c r="M45" s="46" t="str">
        <x:v>22 February 2027</x:v>
      </x:c>
      <x:c r="N45" s="46" t="str">
        <x:v>$26,572 per year</x:v>
      </x:c>
      <x:c r="O45" s="46" t="str">
        <x:v>per year</x:v>
      </x:c>
      <x:c r="P45" s="46" t="str">
        <x:v>2026</x:v>
      </x:c>
      <x:c r="Q45" s="46" t="str">
        <x:v>Not published; 2026 fee shown only</x:v>
      </x:c>
      <x:c r="R45" s="46" t="str">
        <x:v>University Entrance as specified by the New Zealand Qualifications Authority (NZQA)OR New Zealand Certificate in Music (Level 4)OR New Zealand Certificate in Performing Arts (Level 4)Due to Covid-19 disruption, if you studied and achieved NCEA Level 3 during 2020, you only need 12 credits per Level 3 subject (i.e. total of 36 credits). Literacy and Numeracy requirements remain the sameIf you have undertaken examinations other than NCEA (e.g. International Baccalaureate, Cambridge Examination), Ara will assess your qualification for academic entry equivalency.* NZQA approved subjects: see https://www2.nzqa.govt.nz/ncea/understanding-secondary-quals/university-entrance/ Additional Requirements You are also required to:Attend an audition to evaluate musical skills (Music Performance pathway).</x:v>
      </x:c>
      <x:c r="S45"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5" s="46"/>
      <x:c r="U45" s="46" t="str">
        <x:v>Ara funding assistance page; no automatic international award confirmed unless stated on the programme page.</x:v>
      </x:c>
      <x:c r="V45" s="59" t="str">
        <x:v>https://www.ara.ac.nz/products/programme/ch4087-main-bachelor-of-music/</x:v>
      </x:c>
      <x:c r="W45" s="59" t="str">
        <x:v>https://search.ara.ac.nz/siteassets/documents---home/study/priority-learning-groups/international-students/international-brochures--study-guide/international-prospectus-2026.pdf</x:v>
      </x:c>
      <x:c r="X45" s="46" t="str">
        <x:v>2026-07-29</x:v>
      </x:c>
      <x:c r="Y45" s="46" t="str">
        <x:v>Double-checked: live programme page + official international source</x:v>
      </x:c>
      <x:c r="Z45" s="46" t="str">
        <x:v>Live page explicitly states the programme may be available for a Study Visa. 2027 fee not inferred from 2026.</x:v>
      </x:c>
      <x:c r="AA45" s="46"/>
      <x:c r="AB45" s="46" t="str">
        <x:v>Published by provider</x:v>
      </x:c>
      <x:c r="AC45" s="47" t="str">
        <x:v>22 February 2027</x:v>
      </x:c>
    </x:row>
    <x:row r="46" ht="48" customHeight="1">
      <x:c r="A46" s="51" t="str">
        <x:v>Ara Institute of Canterbury</x:v>
      </x:c>
      <x:c r="B46" s="52" t="str">
        <x:v>Ara</x:v>
      </x:c>
      <x:c r="C46" s="52" t="str">
        <x:v>Creative Arts &amp; Media</x:v>
      </x:c>
      <x:c r="D46" s="52" t="str">
        <x:v>Bachelor of Music Theatre</x:v>
      </x:c>
      <x:c r="E46" s="52"/>
      <x:c r="F46" s="52" t="n">
        <x:v>7</x:v>
      </x:c>
      <x:c r="G46" s="52" t="str">
        <x:v>Bachelor's Degree</x:v>
      </x:c>
      <x:c r="H46" s="52" t="str">
        <x:v>On campus / in-person (may include blended components)</x:v>
      </x:c>
      <x:c r="I46" s="52" t="str">
        <x:v>Yes — provider publishes international/on-campus availability</x:v>
      </x:c>
      <x:c r="J46" s="52" t="str">
        <x:v>Madras Street Campus</x:v>
      </x:c>
      <x:c r="K46" s="52" t="str">
        <x:v>3 Years</x:v>
      </x:c>
      <x:c r="L46" s="52"/>
      <x:c r="M46" s="52" t="str">
        <x:v>22 February 2027</x:v>
      </x:c>
      <x:c r="N46" s="52" t="str">
        <x:v>$26,572 per year</x:v>
      </x:c>
      <x:c r="O46" s="52" t="str">
        <x:v>per year</x:v>
      </x:c>
      <x:c r="P46" s="52" t="str">
        <x:v>2026</x:v>
      </x:c>
      <x:c r="Q46" s="52" t="str">
        <x:v>Not published; 2026 fee shown only</x:v>
      </x:c>
      <x:c r="R46" s="52" t="str">
        <x:v>University Entrance: NCEA Level 3 (60 credits at level 3 and 20 credits at level 2 or higher) which must include 14 credits at Level 3 in each of three approved* subjects and:Literacy* - 10 credits at Level 2 or above, made up of 5 credits in reading, 5 credits in writing,Numeracy* - 10 credits at Level 1 or above (specified achievement standards, or unit standards 26623, 26626, 26627)OR New Zealand Certificate in Performing Arts (Level 4) or equivalentDue to Covid-19 disruption, if you studied and achieved NCEA Level 3 during 2020, you only need 12 credits per Level 3 subject (i.e. total of 36 credits). Literacy and Numeracy requirements remain the sameIf you have undertaken examinations other than NCEA (e.g. International Baccalaureate, Cambridge Examination), Ara will assess your qualif</x:v>
      </x:c>
      <x:c r="S46"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6" s="52"/>
      <x:c r="U46" s="52" t="str">
        <x:v>Ara funding assistance page; no automatic international award confirmed unless stated on the programme page.</x:v>
      </x:c>
      <x:c r="V46" s="58" t="str">
        <x:v>https://www.ara.ac.nz/products/programme/ch4086-stru-bachelor-of-music-theatre/</x:v>
      </x:c>
      <x:c r="W46" s="58" t="str">
        <x:v>https://search.ara.ac.nz/siteassets/documents---home/study/priority-learning-groups/international-students/international-brochures--study-guide/international-prospectus-2026.pdf</x:v>
      </x:c>
      <x:c r="X46" s="52" t="str">
        <x:v>2026-07-29</x:v>
      </x:c>
      <x:c r="Y46" s="52" t="str">
        <x:v>Double-checked: live programme page + official international source</x:v>
      </x:c>
      <x:c r="Z46" s="52" t="str">
        <x:v>Live page explicitly states the programme may be available for a Study Visa. 2027 fee not inferred from 2026.</x:v>
      </x:c>
      <x:c r="AA46" s="52"/>
      <x:c r="AB46" s="52" t="str">
        <x:v>Published by provider</x:v>
      </x:c>
      <x:c r="AC46" s="53" t="str">
        <x:v>22 February 2027</x:v>
      </x:c>
    </x:row>
    <x:row r="47" ht="48" customHeight="1">
      <x:c r="A47" s="45" t="str">
        <x:v>Ara Institute of Canterbury</x:v>
      </x:c>
      <x:c r="B47" s="46" t="str">
        <x:v>Ara</x:v>
      </x:c>
      <x:c r="C47" s="46" t="str">
        <x:v>Creative Arts &amp; Media</x:v>
      </x:c>
      <x:c r="D47" s="46" t="str">
        <x:v>New Zealand Diploma in Interior Design (Residential)</x:v>
      </x:c>
      <x:c r="E47" s="46"/>
      <x:c r="F47" s="46" t="n">
        <x:v>5</x:v>
      </x:c>
      <x:c r="G47" s="46" t="str">
        <x:v>Diploma</x:v>
      </x:c>
      <x:c r="H47" s="46" t="str">
        <x:v>On campus / in-person (may include blended components)</x:v>
      </x:c>
      <x:c r="I47" s="46" t="str">
        <x:v>Yes — provider publishes international/on-campus availability</x:v>
      </x:c>
      <x:c r="J47" s="46" t="str">
        <x:v>Madras Street Campus</x:v>
      </x:c>
      <x:c r="K47" s="46" t="str">
        <x:v>1 Year (part-time options available)</x:v>
      </x:c>
      <x:c r="L47" s="46"/>
      <x:c r="M47" s="46" t="str">
        <x:v>22 February 2027</x:v>
      </x:c>
      <x:c r="N47" s="46" t="str">
        <x:v>$26,572 per year</x:v>
      </x:c>
      <x:c r="O47" s="46" t="str">
        <x:v>per year</x:v>
      </x:c>
      <x:c r="P47" s="46" t="str">
        <x:v>2026</x:v>
      </x:c>
      <x:c r="Q47" s="46" t="str">
        <x:v>Not published; 2026 fee shown only</x:v>
      </x:c>
      <x:c r="R47" s="46" t="str">
        <x:v>NCEA Level 2 including: 10 Numeracy credits at Level 1 or above and 10 Literacy credits at Level 2 or above Additional Requirements In addition you need to:Additional information. We encourage you to attend an information session to ensure the programme of study is suitable for you. Ara will be in touch regarding the dates and times of these sessions.</x:v>
      </x:c>
      <x:c r="S47"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7" s="46"/>
      <x:c r="U47" s="46" t="str">
        <x:v>Ara funding assistance page; no automatic international award confirmed unless stated on the programme page.</x:v>
      </x:c>
      <x:c r="V47" s="59" t="str">
        <x:v>https://www.ara.ac.nz/products/programme/nz3665-stru-new-zealand-diploma-in-interior-design-residential-level-5/</x:v>
      </x:c>
      <x:c r="W47" s="59" t="str">
        <x:v>https://search.ara.ac.nz/siteassets/documents---home/study/priority-learning-groups/international-students/international-brochures--study-guide/international-prospectus-2026.pdf</x:v>
      </x:c>
      <x:c r="X47" s="46" t="str">
        <x:v>2026-07-29</x:v>
      </x:c>
      <x:c r="Y47" s="46" t="str">
        <x:v>Double-checked: live programme page + official international source</x:v>
      </x:c>
      <x:c r="Z47" s="46" t="str">
        <x:v>Live page explicitly states the programme may be available for a Study Visa. 2027 fee not inferred from 2026.</x:v>
      </x:c>
      <x:c r="AA47" s="46"/>
      <x:c r="AB47" s="46" t="str">
        <x:v>Published by provider</x:v>
      </x:c>
      <x:c r="AC47" s="47" t="str">
        <x:v>22 February 2027</x:v>
      </x:c>
    </x:row>
    <x:row r="48" ht="48" customHeight="1">
      <x:c r="A48" s="51" t="str">
        <x:v>Ara Institute of Canterbury</x:v>
      </x:c>
      <x:c r="B48" s="52" t="str">
        <x:v>Ara</x:v>
      </x:c>
      <x:c r="C48" s="52" t="str">
        <x:v>Creative Arts &amp; Media</x:v>
      </x:c>
      <x:c r="D48" s="52" t="str">
        <x:v>New Zealand Certificate in DJ and Music Production (Level 4)</x:v>
      </x:c>
      <x:c r="E48" s="52"/>
      <x:c r="F48" s="52" t="n">
        <x:v>4</x:v>
      </x:c>
      <x:c r="G48" s="52" t="str">
        <x:v>Certificate</x:v>
      </x:c>
      <x:c r="H48" s="52" t="str">
        <x:v>On campus / in-person (may include blended components)</x:v>
      </x:c>
      <x:c r="I48" s="52" t="str">
        <x:v>Yes — provider publishes international/on-campus availability</x:v>
      </x:c>
      <x:c r="J48" s="52" t="str">
        <x:v>Madras Street Campus</x:v>
      </x:c>
      <x:c r="K48" s="52" t="str">
        <x:v>1 Year</x:v>
      </x:c>
      <x:c r="L48" s="52"/>
      <x:c r="M48" s="52" t="str">
        <x:v>22 February 2027</x:v>
      </x:c>
      <x:c r="N48" s="52" t="str">
        <x:v>$13,286 per 60 credits or $26,572 per 120 credits (programme dependent)</x:v>
      </x:c>
      <x:c r="O48" s="52" t="str">
        <x:v>See 2026 prospectus; programme dependent</x:v>
      </x:c>
      <x:c r="P48" s="52" t="str">
        <x:v>2026</x:v>
      </x:c>
      <x:c r="Q48" s="52" t="str">
        <x:v>Not published; 2026 fee shown only</x:v>
      </x:c>
      <x:c r="R48" s="52" t="str">
        <x:v>NCEA Level 1 as specified by the New Zealand Qualifications AuthorityOR New Zealand Certificate in Study and Employment Pathways (Level 3) or equivalent.</x:v>
      </x:c>
      <x:c r="S48"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8" s="52"/>
      <x:c r="U48" s="52" t="str">
        <x:v>Ara funding assistance page; no automatic international award confirmed unless stated on the programme page.</x:v>
      </x:c>
      <x:c r="V48" s="58" t="str">
        <x:v>https://www.ara.ac.nz/products/programme/nz3414-stru-new-zealand-certificate-in-dj-and-music-production-level-4-/</x:v>
      </x:c>
      <x:c r="W48" s="58" t="str">
        <x:v>https://search.ara.ac.nz/siteassets/documents---home/study/priority-learning-groups/international-students/international-brochures--study-guide/international-prospectus-2026.pdf</x:v>
      </x:c>
      <x:c r="X48" s="52" t="str">
        <x:v>2026-07-29</x:v>
      </x:c>
      <x:c r="Y48" s="52" t="str">
        <x:v>Double-checked: live programme page + official international source</x:v>
      </x:c>
      <x:c r="Z48" s="52" t="str">
        <x:v>Live page explicitly states the programme may be available for a Study Visa. 2027 fee not inferred from 2026.</x:v>
      </x:c>
      <x:c r="AA48" s="52"/>
      <x:c r="AB48" s="52" t="str">
        <x:v>Published by provider</x:v>
      </x:c>
      <x:c r="AC48" s="53" t="str">
        <x:v>22 February 2027</x:v>
      </x:c>
    </x:row>
    <x:row r="49" ht="48" customHeight="1">
      <x:c r="A49" s="45" t="str">
        <x:v>Ara Institute of Canterbury</x:v>
      </x:c>
      <x:c r="B49" s="46" t="str">
        <x:v>Ara</x:v>
      </x:c>
      <x:c r="C49" s="46" t="str">
        <x:v>Creative Arts &amp; Media</x:v>
      </x:c>
      <x:c r="D49" s="46" t="str">
        <x:v>New Zealand Certificate in Digital Media and Design (Level 4)</x:v>
      </x:c>
      <x:c r="E49" s="46"/>
      <x:c r="F49" s="46" t="n">
        <x:v>4</x:v>
      </x:c>
      <x:c r="G49" s="46" t="str">
        <x:v>Certificate</x:v>
      </x:c>
      <x:c r="H49" s="46" t="str">
        <x:v>On campus / in-person (may include blended components)</x:v>
      </x:c>
      <x:c r="I49" s="46" t="str">
        <x:v>Yes — provider publishes international/on-campus availability</x:v>
      </x:c>
      <x:c r="J49" s="46" t="str">
        <x:v>Madras Street Campus</x:v>
      </x:c>
      <x:c r="K49" s="46" t="str">
        <x:v>19 Weeks</x:v>
      </x:c>
      <x:c r="L49" s="46"/>
      <x:c r="M49" s="46" t="str">
        <x:v>15 February 2027; 19 July 2027</x:v>
      </x:c>
      <x:c r="N49" s="46" t="str">
        <x:v>$26,572 per year</x:v>
      </x:c>
      <x:c r="O49" s="46" t="str">
        <x:v>per year</x:v>
      </x:c>
      <x:c r="P49" s="46" t="str">
        <x:v>2026</x:v>
      </x:c>
      <x:c r="Q49" s="46" t="str">
        <x:v>Not published; 2026 fee shown only</x:v>
      </x:c>
      <x:c r="R49" s="46" t="str">
        <x:v>10 NCEA Level 1 literacy creditsOR New Zealand Certificate in Creativity (Level 4) or equivalent</x:v>
      </x:c>
      <x:c r="S49"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49" s="46"/>
      <x:c r="U49" s="46" t="str">
        <x:v>Ara funding assistance page; no automatic international award confirmed unless stated on the programme page.</x:v>
      </x:c>
      <x:c r="V49" s="59" t="str">
        <x:v>https://www.ara.ac.nz/products/programme/certificate-in-digital-media-and-design</x:v>
      </x:c>
      <x:c r="W49" s="59" t="str">
        <x:v>https://search.ara.ac.nz/siteassets/documents---home/study/priority-learning-groups/international-students/international-brochures--study-guide/international-prospectus-2026.pdf</x:v>
      </x:c>
      <x:c r="X49" s="46" t="str">
        <x:v>2026-07-29</x:v>
      </x:c>
      <x:c r="Y49" s="46" t="str">
        <x:v>Double-checked: live programme page + official international source</x:v>
      </x:c>
      <x:c r="Z49" s="46" t="str">
        <x:v>Live page explicitly states the programme may be available for a Study Visa. 2027 fee not inferred from 2026.</x:v>
      </x:c>
      <x:c r="AA49" s="46"/>
      <x:c r="AB49" s="46" t="str">
        <x:v>Published by provider</x:v>
      </x:c>
      <x:c r="AC49" s="47" t="str">
        <x:v>15 February 2027; 19 July 2027</x:v>
      </x:c>
    </x:row>
    <x:row r="50" ht="48" customHeight="1">
      <x:c r="A50" s="51" t="str">
        <x:v>Ara Institute of Canterbury</x:v>
      </x:c>
      <x:c r="B50" s="52" t="str">
        <x:v>Ara</x:v>
      </x:c>
      <x:c r="C50" s="52" t="str">
        <x:v>Creative Arts &amp; Media</x:v>
      </x:c>
      <x:c r="D50" s="52" t="str">
        <x:v>New Zealand Certificate in Fashion</x:v>
      </x:c>
      <x:c r="E50" s="52"/>
      <x:c r="F50" s="52" t="n">
        <x:v>4</x:v>
      </x:c>
      <x:c r="G50" s="52" t="str">
        <x:v>Certificate</x:v>
      </x:c>
      <x:c r="H50" s="52" t="str">
        <x:v>On campus / in-person (may include blended components)</x:v>
      </x:c>
      <x:c r="I50" s="52" t="str">
        <x:v>Yes — provider publishes international/on-campus availability</x:v>
      </x:c>
      <x:c r="J50" s="52" t="str">
        <x:v>Madras Street Campus</x:v>
      </x:c>
      <x:c r="K50" s="52" t="str">
        <x:v>19 Weeks</x:v>
      </x:c>
      <x:c r="L50" s="52"/>
      <x:c r="M50" s="52" t="str">
        <x:v>15 February 2027; 19 July 2027</x:v>
      </x:c>
      <x:c r="N50" s="52" t="str">
        <x:v>$13,286 per 60 credits or $26,572 per 120 credits (programme dependent)</x:v>
      </x:c>
      <x:c r="O50" s="52" t="str">
        <x:v>See 2026 prospectus; programme dependent</x:v>
      </x:c>
      <x:c r="P50" s="52" t="str">
        <x:v>2026</x:v>
      </x:c>
      <x:c r="Q50" s="52" t="str">
        <x:v>Not published; 2026 fee shown only</x:v>
      </x:c>
      <x:c r="R50" s="52" t="str">
        <x:v>40 credits NCEA Level 1, including 10 literacy credits and 10 numeracy credits</x:v>
      </x:c>
      <x:c r="S50"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0" s="52"/>
      <x:c r="U50" s="52" t="str">
        <x:v>Ara funding assistance page; no automatic international award confirmed unless stated on the programme page.</x:v>
      </x:c>
      <x:c r="V50" s="58" t="str">
        <x:v>https://www.ara.ac.nz/products/programme/nz2630-fash-new-zealand-certificate-in-fashion/</x:v>
      </x:c>
      <x:c r="W50" s="58" t="str">
        <x:v>https://search.ara.ac.nz/siteassets/documents---home/study/priority-learning-groups/international-students/international-brochures--study-guide/international-prospectus-2026.pdf</x:v>
      </x:c>
      <x:c r="X50" s="52" t="str">
        <x:v>2026-07-29</x:v>
      </x:c>
      <x:c r="Y50" s="52" t="str">
        <x:v>Double-checked: live programme page + official international source</x:v>
      </x:c>
      <x:c r="Z50" s="52" t="str">
        <x:v>Live page explicitly states the programme may be available for a Study Visa. 2027 fee not inferred from 2026.</x:v>
      </x:c>
      <x:c r="AA50" s="52"/>
      <x:c r="AB50" s="52" t="str">
        <x:v>Published by provider</x:v>
      </x:c>
      <x:c r="AC50" s="53" t="str">
        <x:v>15 February 2027; 19 July 2027</x:v>
      </x:c>
    </x:row>
    <x:row r="51" ht="48" customHeight="1">
      <x:c r="A51" s="45" t="str">
        <x:v>Ara Institute of Canterbury</x:v>
      </x:c>
      <x:c r="B51" s="46" t="str">
        <x:v>Ara</x:v>
      </x:c>
      <x:c r="C51" s="46" t="str">
        <x:v>Creative Arts &amp; Media</x:v>
      </x:c>
      <x:c r="D51" s="46" t="str">
        <x:v>New Zealand Certificate in Music (Level 4)</x:v>
      </x:c>
      <x:c r="E51" s="46"/>
      <x:c r="F51" s="46" t="n">
        <x:v>4</x:v>
      </x:c>
      <x:c r="G51" s="46" t="str">
        <x:v>Certificate</x:v>
      </x:c>
      <x:c r="H51" s="46" t="str">
        <x:v>On campus / in-person (may include blended components)</x:v>
      </x:c>
      <x:c r="I51" s="46" t="str">
        <x:v>Yes — provider publishes international/on-campus availability</x:v>
      </x:c>
      <x:c r="J51" s="46" t="str">
        <x:v>Madras Street Campus</x:v>
      </x:c>
      <x:c r="K51" s="46" t="str">
        <x:v>1 Year</x:v>
      </x:c>
      <x:c r="L51" s="46"/>
      <x:c r="M51" s="46" t="str">
        <x:v>22 February 2027</x:v>
      </x:c>
      <x:c r="N51" s="46" t="str">
        <x:v>$26,572 per year</x:v>
      </x:c>
      <x:c r="O51" s="46" t="str">
        <x:v>per year</x:v>
      </x:c>
      <x:c r="P51" s="46" t="str">
        <x:v>2026</x:v>
      </x:c>
      <x:c r="Q51" s="46" t="str">
        <x:v>Not published; 2026 fee shown only</x:v>
      </x:c>
      <x:c r="R51" s="46" t="str">
        <x:v>10 NCEA Level 1 literacy credits Additional Requirements You must Attend an audition to assess: instrumental or vocal skills and ability, aural skills, basic musical theory skills, ability and potential to study music.</x:v>
      </x:c>
      <x:c r="S51"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1" s="46"/>
      <x:c r="U51" s="46" t="str">
        <x:v>Ara funding assistance page; no automatic international award confirmed unless stated on the programme page.</x:v>
      </x:c>
      <x:c r="V51" s="59" t="str">
        <x:v>https://www.ara.ac.nz/products/programme/nz3418-stru-new-zealand-certificate-in-music-level-4/</x:v>
      </x:c>
      <x:c r="W51" s="59" t="str">
        <x:v>https://search.ara.ac.nz/siteassets/documents---home/study/priority-learning-groups/international-students/international-brochures--study-guide/international-prospectus-2026.pdf</x:v>
      </x:c>
      <x:c r="X51" s="46" t="str">
        <x:v>2026-07-29</x:v>
      </x:c>
      <x:c r="Y51" s="46" t="str">
        <x:v>Double-checked: live programme page + official international source</x:v>
      </x:c>
      <x:c r="Z51" s="46" t="str">
        <x:v>Live page explicitly states the programme may be available for a Study Visa. 2027 fee not inferred from 2026.</x:v>
      </x:c>
      <x:c r="AA51" s="46"/>
      <x:c r="AB51" s="46" t="str">
        <x:v>Published by provider</x:v>
      </x:c>
      <x:c r="AC51" s="47" t="str">
        <x:v>22 February 2027</x:v>
      </x:c>
    </x:row>
    <x:row r="52" ht="48" customHeight="1">
      <x:c r="A52" s="51" t="str">
        <x:v>Ara Institute of Canterbury</x:v>
      </x:c>
      <x:c r="B52" s="52" t="str">
        <x:v>Ara</x:v>
      </x:c>
      <x:c r="C52" s="52" t="str">
        <x:v>Creative Arts &amp; Media</x:v>
      </x:c>
      <x:c r="D52" s="52" t="str">
        <x:v>New Zealand Certificate in Performing Arts (Level 4)</x:v>
      </x:c>
      <x:c r="E52" s="52"/>
      <x:c r="F52" s="52" t="n">
        <x:v>4</x:v>
      </x:c>
      <x:c r="G52" s="52" t="str">
        <x:v>Certificate</x:v>
      </x:c>
      <x:c r="H52" s="52" t="str">
        <x:v>On campus / in-person (may include blended components)</x:v>
      </x:c>
      <x:c r="I52" s="52" t="str">
        <x:v>Yes — provider publishes international/on-campus availability</x:v>
      </x:c>
      <x:c r="J52" s="52" t="str">
        <x:v>Madras Street Campus</x:v>
      </x:c>
      <x:c r="K52" s="52" t="str">
        <x:v>1 YearS</x:v>
      </x:c>
      <x:c r="L52" s="52"/>
      <x:c r="M52" s="52" t="str">
        <x:v>22 February 2027</x:v>
      </x:c>
      <x:c r="N52" s="52" t="str">
        <x:v>$26,572 per year</x:v>
      </x:c>
      <x:c r="O52" s="52" t="str">
        <x:v>per year</x:v>
      </x:c>
      <x:c r="P52" s="52" t="str">
        <x:v>2026</x:v>
      </x:c>
      <x:c r="Q52" s="52" t="str">
        <x:v>Not published; 2026 fee shown only</x:v>
      </x:c>
      <x:c r="R52" s="52" t="str">
        <x:v>10 NCEA Level 1 literacy credits Additional Requirements In addition you need to:Attend an audition to assess:vocal skills and ability,acting skills,dance / movement skills,ability and potential to study performing arts.</x:v>
      </x:c>
      <x:c r="S52"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2" s="52"/>
      <x:c r="U52" s="52" t="str">
        <x:v>Ara funding assistance page; no automatic international award confirmed unless stated on the programme page.</x:v>
      </x:c>
      <x:c r="V52" s="58" t="str">
        <x:v>https://www.ara.ac.nz/products/programme/nz3420-stru-new-zealand-certificate-in-performing-arts-level-4/</x:v>
      </x:c>
      <x:c r="W52" s="58" t="str">
        <x:v>https://search.ara.ac.nz/siteassets/documents---home/study/priority-learning-groups/international-students/international-brochures--study-guide/international-prospectus-2026.pdf</x:v>
      </x:c>
      <x:c r="X52" s="52" t="str">
        <x:v>2026-07-29</x:v>
      </x:c>
      <x:c r="Y52" s="52" t="str">
        <x:v>Double-checked: live programme page + official international source</x:v>
      </x:c>
      <x:c r="Z52" s="52" t="str">
        <x:v>Live page explicitly states the programme may be available for a Study Visa. 2027 fee not inferred from 2026.</x:v>
      </x:c>
      <x:c r="AA52" s="52"/>
      <x:c r="AB52" s="52" t="str">
        <x:v>Published by provider</x:v>
      </x:c>
      <x:c r="AC52" s="53" t="str">
        <x:v>22 February 2027</x:v>
      </x:c>
    </x:row>
    <x:row r="53" ht="48" customHeight="1">
      <x:c r="A53" s="45" t="str">
        <x:v>Ara Institute of Canterbury</x:v>
      </x:c>
      <x:c r="B53" s="46" t="str">
        <x:v>Ara</x:v>
      </x:c>
      <x:c r="C53" s="46" t="str">
        <x:v>Education &amp; Social Services</x:v>
      </x:c>
      <x:c r="D53" s="46" t="str">
        <x:v>Bachelor of Social Work</x:v>
      </x:c>
      <x:c r="E53" s="46"/>
      <x:c r="F53" s="46" t="n">
        <x:v>7</x:v>
      </x:c>
      <x:c r="G53" s="46" t="str">
        <x:v>Bachelor's Degree</x:v>
      </x:c>
      <x:c r="H53" s="46" t="str">
        <x:v>On campus / in-person (may include blended components)</x:v>
      </x:c>
      <x:c r="I53" s="46" t="str">
        <x:v>Yes — provider publishes international/on-campus availability</x:v>
      </x:c>
      <x:c r="J53" s="46" t="str">
        <x:v>Madras Street Campus</x:v>
      </x:c>
      <x:c r="K53" s="46" t="str">
        <x:v>4 Years (part-time options available)</x:v>
      </x:c>
      <x:c r="L53" s="46"/>
      <x:c r="M53" s="46" t="str">
        <x:v>08 February 2027</x:v>
      </x:c>
      <x:c r="N53" s="46" t="str">
        <x:v>$26,572 per year</x:v>
      </x:c>
      <x:c r="O53" s="46" t="str">
        <x:v>per year</x:v>
      </x:c>
      <x:c r="P53" s="46" t="str">
        <x:v>2026</x:v>
      </x:c>
      <x:c r="Q53" s="46" t="str">
        <x:v>Not published; 2026 fee shown only</x:v>
      </x:c>
      <x:c r="R53" s="46" t="str">
        <x:v>New Zealand University Entrance: NCEA Level 3 (60 credits at level 3 and 20 credits at level 2 or higher) which must include:14 credits at Level 3 in each of:English or an approved literacy* subjecttwo other subjects from the list of approved subjects* andLiteracy* - 10 credits at Level 2 or above, made up of 5 credits in reading, 5 credits in writing, andNumeracy* - 10 credits at Level 1 or above (specified achievement standards, or unit standards 26623, 26626, 26627)OR NZ2992 New Zealand Certificate in Health and Wellbeing (Level 4) or equivalentOR If you have undertaken examinations other than NCEA (e.g. International Baccalaureate, Cambridge Examination), Ara will assess your</x:v>
      </x:c>
      <x:c r="S53" s="46" t="str">
        <x:v>What if English is not my first Language?If English is not your first language, we want to make sure that you will be successful in your chosen programme of study.If you are not a New Zealand Citizen or Permanent resident, please book a PTE Academic test through the Ara Examination Centre or complete an NZQA-approved English language test in your home country.IELTS scores used must be taken from a single IELTS Test Report Form and are valid for two years from the date of the test.All students for whom English is not their first language will be informed of the SWRB requirement of IELTS 7.0 Academic for registration.What if I have achieved New</x:v>
      </x:c>
      <x:c r="T53" s="46"/>
      <x:c r="U53" s="46" t="str">
        <x:v>Ara funding assistance page; no automatic international award confirmed unless stated on the programme page.</x:v>
      </x:c>
      <x:c r="V53" s="59" t="str">
        <x:v>https://www.ara.ac.nz/products/programme/ch4051-stru-bachelor-of-social-work/</x:v>
      </x:c>
      <x:c r="W53" s="59" t="str">
        <x:v>https://search.ara.ac.nz/siteassets/documents---home/study/priority-learning-groups/international-students/international-brochures--study-guide/international-prospectus-2026.pdf</x:v>
      </x:c>
      <x:c r="X53" s="46" t="str">
        <x:v>2026-07-29</x:v>
      </x:c>
      <x:c r="Y53" s="46" t="str">
        <x:v>Double-checked: live programme page + official international source</x:v>
      </x:c>
      <x:c r="Z53" s="46" t="str">
        <x:v>Live page explicitly states the programme may be available for a Study Visa. 2027 fee not inferred from 2026.</x:v>
      </x:c>
      <x:c r="AA53" s="46"/>
      <x:c r="AB53" s="46" t="str">
        <x:v>Published by provider</x:v>
      </x:c>
      <x:c r="AC53" s="47" t="str">
        <x:v>08 February 2027</x:v>
      </x:c>
    </x:row>
    <x:row r="54" ht="48" customHeight="1">
      <x:c r="A54" s="51" t="str">
        <x:v>Ara Institute of Canterbury</x:v>
      </x:c>
      <x:c r="B54" s="52" t="str">
        <x:v>Ara</x:v>
      </x:c>
      <x:c r="C54" s="52" t="str">
        <x:v>Education &amp; Social Services</x:v>
      </x:c>
      <x:c r="D54" s="52" t="str">
        <x:v>New Zealand Diploma in Early Childhood Education and Care (Level 5)</x:v>
      </x:c>
      <x:c r="E54" s="52"/>
      <x:c r="F54" s="52" t="n">
        <x:v>5</x:v>
      </x:c>
      <x:c r="G54" s="52" t="str">
        <x:v>Diploma</x:v>
      </x:c>
      <x:c r="H54" s="52" t="str">
        <x:v>On campus / in-person (may include blended components)</x:v>
      </x:c>
      <x:c r="I54" s="52" t="str">
        <x:v>Yes — provider publishes international/on-campus availability</x:v>
      </x:c>
      <x:c r="J54" s="52" t="str">
        <x:v>Madras Street Campus; Timaru Campus</x:v>
      </x:c>
      <x:c r="K54" s="52" t="str">
        <x:v>1 Year</x:v>
      </x:c>
      <x:c r="L54" s="52"/>
      <x:c r="M54" s="52" t="str">
        <x:v>15 February 2027</x:v>
      </x:c>
      <x:c r="N54" s="52" t="str">
        <x:v>$26,572 per year</x:v>
      </x:c>
      <x:c r="O54" s="52" t="str">
        <x:v>See 2026 prospectus; programme dependent</x:v>
      </x:c>
      <x:c r="P54" s="52" t="str">
        <x:v>2026</x:v>
      </x:c>
      <x:c r="Q54" s="52" t="str">
        <x:v>Not published; 2026 fee shown only</x:v>
      </x:c>
      <x:c r="R54" s="52" t="str">
        <x:v>NCEA Level 2OR New Zealand Certificate in Early Childhood Education and Care (Level 4)OR New Zealand Study and Employment Pathways (Level 4) Additional Requirements Interview: An interview will be held prior to acceptance to assess suitability for working with children in the community and ensure Ara meets the legislative requirements of the Children's Act 2014.Two satisfactory character references are required. These should be from persons in positions of trust or responsibility such as an employer, pastor, kaumātua or kuia. References from family/whānau or friends will not be accepted.Prior to enrolment, applicants will be required to complete a New Zealand Police Request and Consent form. The form will be sent to the New Zealand Police Vetting Service and returned in confidence to Ara.</x:v>
      </x:c>
      <x:c r="S54"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4" s="52"/>
      <x:c r="U54" s="52" t="str">
        <x:v>Ara funding assistance page; no automatic international award confirmed unless stated on the programme page.</x:v>
      </x:c>
      <x:c r="V54" s="58" t="str">
        <x:v>https://www.ara.ac.nz/products/programme/nz2851-ecec-new-zealand-diploma-in-early-childhood-education-and-care-level-5/</x:v>
      </x:c>
      <x:c r="W54" s="58" t="str">
        <x:v>https://search.ara.ac.nz/siteassets/documents---home/study/priority-learning-groups/international-students/international-brochures--study-guide/international-prospectus-2026.pdf</x:v>
      </x:c>
      <x:c r="X54" s="52" t="str">
        <x:v>2026-07-29</x:v>
      </x:c>
      <x:c r="Y54" s="52" t="str">
        <x:v>Double-checked: live programme page + official international source</x:v>
      </x:c>
      <x:c r="Z54" s="52" t="str">
        <x:v>Live page explicitly states the programme may be available for a Study Visa. 2027 fee not inferred from 2026.</x:v>
      </x:c>
      <x:c r="AA54" s="52"/>
      <x:c r="AB54" s="52" t="str">
        <x:v>Published by provider</x:v>
      </x:c>
      <x:c r="AC54" s="53" t="str">
        <x:v>15 February 2027</x:v>
      </x:c>
    </x:row>
    <x:row r="55" ht="48" customHeight="1">
      <x:c r="A55" s="45" t="str">
        <x:v>Ara Institute of Canterbury</x:v>
      </x:c>
      <x:c r="B55" s="46" t="str">
        <x:v>Ara</x:v>
      </x:c>
      <x:c r="C55" s="46" t="str">
        <x:v>Education &amp; Social Services</x:v>
      </x:c>
      <x:c r="D55" s="46" t="str">
        <x:v>New Zealand Certificate in Early Childhood Education and Care (Level 4)</x:v>
      </x:c>
      <x:c r="E55" s="46"/>
      <x:c r="F55" s="46" t="n">
        <x:v>4</x:v>
      </x:c>
      <x:c r="G55" s="46" t="str">
        <x:v>Certificate</x:v>
      </x:c>
      <x:c r="H55" s="46" t="str">
        <x:v>On campus / in-person (may include blended components)</x:v>
      </x:c>
      <x:c r="I55" s="46" t="str">
        <x:v>Yes — provider publishes international/on-campus availability</x:v>
      </x:c>
      <x:c r="J55" s="46" t="str">
        <x:v>Madras Street Campus; Timaru Campus</x:v>
      </x:c>
      <x:c r="K55" s="46" t="str">
        <x:v>19 Weeks</x:v>
      </x:c>
      <x:c r="L55" s="46"/>
      <x:c r="M55" s="46" t="str">
        <x:v>19 July 2027</x:v>
      </x:c>
      <x:c r="N55" s="46" t="str">
        <x:v>$13,286 per 60 credits or $26,572 per 120 credits (programme dependent)</x:v>
      </x:c>
      <x:c r="O55" s="46" t="str">
        <x:v>See 2026 prospectus; programme dependent</x:v>
      </x:c>
      <x:c r="P55" s="46" t="str">
        <x:v>2026</x:v>
      </x:c>
      <x:c r="Q55" s="46" t="str">
        <x:v>Not published; 2026 fee shown only</x:v>
      </x:c>
      <x:c r="R55" s="46" t="str">
        <x:v>NCEA Level 1OR New Zealand Certificate in Early Childhood Education and Care (Level 3)OR New Zealand Study and Employment Pathways (Level 3) Additional Requirements Interview: An interview will be held prior to acceptance to assess suitability for working with children in the community and ensure Ara meets the legislative requirements of the Children's Act 2014.Two satisfactory character references are required. These should be from persons in positions of trust or responsibility such as an employer, pastor, kaumātua or kuia. References from family/whānau or friends will not be accepted.Prior to enrolment, applicants will be required to complete a New Zealand Police Request and Consent form. The form will be sent to the New Zealand Police Vetting Service and returned in confidence to Ara.</x:v>
      </x:c>
      <x:c r="S55"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5" s="46"/>
      <x:c r="U55" s="46" t="str">
        <x:v>Ara funding assistance page; no automatic international award confirmed unless stated on the programme page.</x:v>
      </x:c>
      <x:c r="V55" s="59" t="str">
        <x:v>https://www.ara.ac.nz/products/programme/nz2850-ecec-new-zealand-certificate-in-early-childhood-education-and-care-level-4/</x:v>
      </x:c>
      <x:c r="W55" s="59" t="str">
        <x:v>https://search.ara.ac.nz/siteassets/documents---home/study/priority-learning-groups/international-students/international-brochures--study-guide/international-prospectus-2026.pdf</x:v>
      </x:c>
      <x:c r="X55" s="46" t="str">
        <x:v>2026-07-29</x:v>
      </x:c>
      <x:c r="Y55" s="46" t="str">
        <x:v>Double-checked: live programme page + official international source</x:v>
      </x:c>
      <x:c r="Z55" s="46" t="str">
        <x:v>Live page explicitly states the programme may be available for a Study Visa. 2027 fee not inferred from 2026.</x:v>
      </x:c>
      <x:c r="AA55" s="46"/>
      <x:c r="AB55" s="46" t="str">
        <x:v>Published by provider</x:v>
      </x:c>
      <x:c r="AC55" s="47" t="str">
        <x:v>19 July 2027</x:v>
      </x:c>
    </x:row>
    <x:row r="56" ht="48" customHeight="1">
      <x:c r="A56" s="51" t="str">
        <x:v>Ara Institute of Canterbury</x:v>
      </x:c>
      <x:c r="B56" s="52" t="str">
        <x:v>Ara</x:v>
      </x:c>
      <x:c r="C56" s="52" t="str">
        <x:v>Engineering</x:v>
      </x:c>
      <x:c r="D56" s="52" t="str">
        <x:v>Bachelor of Engineering Technology (Civil)</x:v>
      </x:c>
      <x:c r="E56" s="52"/>
      <x:c r="F56" s="52" t="n">
        <x:v>7</x:v>
      </x:c>
      <x:c r="G56" s="52" t="str">
        <x:v>Bachelor's Degree</x:v>
      </x:c>
      <x:c r="H56" s="52" t="str">
        <x:v>On campus / in-person (may include blended components)</x:v>
      </x:c>
      <x:c r="I56" s="52" t="str">
        <x:v>Yes — provider publishes international/on-campus availability</x:v>
      </x:c>
      <x:c r="J56" s="52" t="str">
        <x:v>Madras Street Campus</x:v>
      </x:c>
      <x:c r="K56" s="52" t="str">
        <x:v>3 Years (part-time options available)</x:v>
      </x:c>
      <x:c r="L56" s="52"/>
      <x:c r="M56" s="52" t="str">
        <x:v>15 February 2027; 19 July 2027</x:v>
      </x:c>
      <x:c r="N56" s="52" t="str">
        <x:v>$29,761 per year</x:v>
      </x:c>
      <x:c r="O56" s="52" t="str">
        <x:v>per year</x:v>
      </x:c>
      <x:c r="P56" s="52" t="str">
        <x:v>2026</x:v>
      </x:c>
      <x:c r="Q56" s="52" t="str">
        <x:v>Not published; 2026 fee shown only</x:v>
      </x:c>
      <x:c r="R56" s="52" t="str">
        <x:v>New Zealand University Entrance: NCEA Level 3 which must include:14 credits at Level 3 in each of : Physics, Calculus and one other subject from the list of approved subjects*Literacy* - 10 credits at Level 2 or above, made up of 5 credits in reading, 5 credits in writing,Numeracy* - 10 credits at Level 1 or above (specified achievement standards, or unit standards 26623, 26626, 26627)Due to Covid-19 disruption, if you studied and achieved NCEA Level 3 during 2020, you only need 12 credits per Level 3 subject (i.e. total of 36 credits). Literacy and Numeracy requirements remain the sameIf you have undertaken examinations other than NCEA (e.g. International Baccalaureate, Cambridge Examination), Ara will assess your qualification for academic entry equivalency.* NZQA approved subjects: see </x:v>
      </x:c>
      <x:c r="S56"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6" s="52"/>
      <x:c r="U56" s="52" t="str">
        <x:v>Ara funding assistance page; no automatic international award confirmed unless stated on the programme page.</x:v>
      </x:c>
      <x:c r="V56" s="58" t="str">
        <x:v>https://www.ara.ac.nz/products/programme/ch4018-civl-bachelor-of-engineering-technology-civil/</x:v>
      </x:c>
      <x:c r="W56" s="58" t="str">
        <x:v>https://search.ara.ac.nz/siteassets/documents---home/study/priority-learning-groups/international-students/international-brochures--study-guide/international-prospectus-2026.pdf</x:v>
      </x:c>
      <x:c r="X56" s="52" t="str">
        <x:v>2026-07-29</x:v>
      </x:c>
      <x:c r="Y56" s="52" t="str">
        <x:v>Double-checked: live programme page + official international source</x:v>
      </x:c>
      <x:c r="Z56" s="52" t="str">
        <x:v>Live page explicitly states the programme may be available for a Study Visa. 2027 fee not inferred from 2026.</x:v>
      </x:c>
      <x:c r="AA56" s="52"/>
      <x:c r="AB56" s="52" t="str">
        <x:v>Published by provider</x:v>
      </x:c>
      <x:c r="AC56" s="53" t="str">
        <x:v>15 February 2027; 19 July 2027</x:v>
      </x:c>
    </x:row>
    <x:row r="57" ht="48" customHeight="1">
      <x:c r="A57" s="45" t="str">
        <x:v>Ara Institute of Canterbury</x:v>
      </x:c>
      <x:c r="B57" s="46" t="str">
        <x:v>Ara</x:v>
      </x:c>
      <x:c r="C57" s="46" t="str">
        <x:v>Engineering</x:v>
      </x:c>
      <x:c r="D57" s="46" t="str">
        <x:v>Bachelor of Engineering Technology (Electrical)</x:v>
      </x:c>
      <x:c r="E57" s="46"/>
      <x:c r="F57" s="46" t="n">
        <x:v>7</x:v>
      </x:c>
      <x:c r="G57" s="46" t="str">
        <x:v>Bachelor's Degree</x:v>
      </x:c>
      <x:c r="H57" s="46" t="str">
        <x:v>On campus / in-person (may include blended components)</x:v>
      </x:c>
      <x:c r="I57" s="46" t="str">
        <x:v>Yes — provider publishes international/on-campus availability</x:v>
      </x:c>
      <x:c r="J57" s="46" t="str">
        <x:v>Madras Street Campus</x:v>
      </x:c>
      <x:c r="K57" s="46" t="str">
        <x:v>3 Years (part-time options available)</x:v>
      </x:c>
      <x:c r="L57" s="46"/>
      <x:c r="M57" s="46" t="str">
        <x:v>15 February 2027; 19 July 2027</x:v>
      </x:c>
      <x:c r="N57" s="46" t="str">
        <x:v>$29,761 per year</x:v>
      </x:c>
      <x:c r="O57" s="46" t="str">
        <x:v>per year</x:v>
      </x:c>
      <x:c r="P57" s="46" t="str">
        <x:v>2026</x:v>
      </x:c>
      <x:c r="Q57" s="46" t="str">
        <x:v>Not published; 2026 fee shown only</x:v>
      </x:c>
      <x:c r="R57" s="46" t="str">
        <x:v>New Zealand University Entrance: NCEA Level 3 which must include:14 credits at Level 3 in each of : Physics, Calculus and one other subject from the list of approved subjects*Literacy* - 10 credits at Level 2 or above, made up of 5 credits in reading, 5 credits in writing,Numeracy* - 10 credits at Level 1 or above (specified achievement standards, or unit standards 26623, 26626, 26627)Due to Covid-19 disruption, if you studied and achieved NCEA Level 3 during 2020, you only need 12 credits per Level 3 subject (i.e. total of 36 credits). Literacy and Numeracy requirements remain the sameIf you have undertaken examinations other than NCEA (e.g. International Baccalaureate, Cambridge Examination), Ara will assess your qualification for academic entry equivalency.* NZQA approved subjects: see </x:v>
      </x:c>
      <x:c r="S57"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7" s="46"/>
      <x:c r="U57" s="46" t="str">
        <x:v>Ara funding assistance page; no automatic international award confirmed unless stated on the programme page.</x:v>
      </x:c>
      <x:c r="V57" s="59" t="str">
        <x:v>https://www.ara.ac.nz/products/programme/ch4018-elec-bachelor-of-engineering-technology-electrical/</x:v>
      </x:c>
      <x:c r="W57" s="59" t="str">
        <x:v>https://search.ara.ac.nz/siteassets/documents---home/study/priority-learning-groups/international-students/international-brochures--study-guide/international-prospectus-2026.pdf</x:v>
      </x:c>
      <x:c r="X57" s="46" t="str">
        <x:v>2026-07-29</x:v>
      </x:c>
      <x:c r="Y57" s="46" t="str">
        <x:v>Double-checked: live programme page + official international source</x:v>
      </x:c>
      <x:c r="Z57" s="46" t="str">
        <x:v>Live page explicitly states the programme may be available for a Study Visa. 2027 fee not inferred from 2026.</x:v>
      </x:c>
      <x:c r="AA57" s="46"/>
      <x:c r="AB57" s="46" t="str">
        <x:v>Published by provider</x:v>
      </x:c>
      <x:c r="AC57" s="47" t="str">
        <x:v>15 February 2027; 19 July 2027</x:v>
      </x:c>
    </x:row>
    <x:row r="58" ht="48" customHeight="1">
      <x:c r="A58" s="51" t="str">
        <x:v>Ara Institute of Canterbury</x:v>
      </x:c>
      <x:c r="B58" s="52" t="str">
        <x:v>Ara</x:v>
      </x:c>
      <x:c r="C58" s="52" t="str">
        <x:v>Engineering</x:v>
      </x:c>
      <x:c r="D58" s="52" t="str">
        <x:v>Bachelor of Engineering Technology (Mechanical)</x:v>
      </x:c>
      <x:c r="E58" s="52"/>
      <x:c r="F58" s="52" t="n">
        <x:v>7</x:v>
      </x:c>
      <x:c r="G58" s="52" t="str">
        <x:v>Bachelor's Degree</x:v>
      </x:c>
      <x:c r="H58" s="52" t="str">
        <x:v>On campus / in-person (may include blended components)</x:v>
      </x:c>
      <x:c r="I58" s="52" t="str">
        <x:v>Yes — provider publishes international/on-campus availability</x:v>
      </x:c>
      <x:c r="J58" s="52" t="str">
        <x:v>Madras Street Campus</x:v>
      </x:c>
      <x:c r="K58" s="52" t="str">
        <x:v>3 Years (part-time options available)</x:v>
      </x:c>
      <x:c r="L58" s="52"/>
      <x:c r="M58" s="52" t="str">
        <x:v>15 February 2027; 19 July 2027</x:v>
      </x:c>
      <x:c r="N58" s="52" t="str">
        <x:v>$29,761 per year</x:v>
      </x:c>
      <x:c r="O58" s="52" t="str">
        <x:v>per year</x:v>
      </x:c>
      <x:c r="P58" s="52" t="str">
        <x:v>2026</x:v>
      </x:c>
      <x:c r="Q58" s="52" t="str">
        <x:v>Not published; 2026 fee shown only</x:v>
      </x:c>
      <x:c r="R58" s="52" t="str">
        <x:v>New Zealand University Entrance: NCEA Level 3 which must include:14 credits at Level 3 in each of : Physics, Calculus and one other subject from the list of approved subjects*Literacy* - 10 credits at Level 2 or above, made up of 5 credits in reading, 5 credits in writing,Numeracy* - 10 credits at Level 1 or above (specified achievement standards, or unit standards 26623, 26626, 26627)Due to Covid-19 disruption, if you studied and achieved NCEA Level 3 during 2020, you only need 12 credits per Level 3 subject (i.e. total of 36 credits). Literacy and Numeracy requirements remain the sameIf you have undertaken examinations other than NCEA (e.g. International Baccalaureate, Cambridge Examination), Ara will assess your qualification for academic entry equivalency.* NZQA approved subjects: see </x:v>
      </x:c>
      <x:c r="S58"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58" s="52"/>
      <x:c r="U58" s="52" t="str">
        <x:v>Ara funding assistance page; no automatic international award confirmed unless stated on the programme page.</x:v>
      </x:c>
      <x:c r="V58" s="58" t="str">
        <x:v>https://www.ara.ac.nz/products/programme/ch4018-mech-bachelor-of-engineering-technology-mechanical/</x:v>
      </x:c>
      <x:c r="W58" s="58" t="str">
        <x:v>https://search.ara.ac.nz/siteassets/documents---home/study/priority-learning-groups/international-students/international-brochures--study-guide/international-prospectus-2026.pdf</x:v>
      </x:c>
      <x:c r="X58" s="52" t="str">
        <x:v>2026-07-29</x:v>
      </x:c>
      <x:c r="Y58" s="52" t="str">
        <x:v>Double-checked: live programme page + official international source</x:v>
      </x:c>
      <x:c r="Z58" s="52" t="str">
        <x:v>Live page explicitly states the programme may be available for a Study Visa. 2027 fee not inferred from 2026.</x:v>
      </x:c>
      <x:c r="AA58" s="52"/>
      <x:c r="AB58" s="52" t="str">
        <x:v>Published by provider</x:v>
      </x:c>
      <x:c r="AC58" s="53" t="str">
        <x:v>15 February 2027; 19 July 2027</x:v>
      </x:c>
    </x:row>
    <x:row r="59" ht="48" customHeight="1">
      <x:c r="A59" s="45" t="str">
        <x:v>Ara Institute of Canterbury</x:v>
      </x:c>
      <x:c r="B59" s="46" t="str">
        <x:v>Ara</x:v>
      </x:c>
      <x:c r="C59" s="46" t="str">
        <x:v>Engineering</x:v>
      </x:c>
      <x:c r="D59" s="46" t="str">
        <x:v>Bachelor of Information and Communications Technologies (Data Engineering)</x:v>
      </x:c>
      <x:c r="E59" s="46"/>
      <x:c r="F59" s="46" t="n">
        <x:v>7</x:v>
      </x:c>
      <x:c r="G59" s="46" t="str">
        <x:v>Bachelor's Degree</x:v>
      </x:c>
      <x:c r="H59" s="46" t="str">
        <x:v>On campus / in-person (may include blended components)</x:v>
      </x:c>
      <x:c r="I59" s="46" t="str">
        <x:v>Yes — provider publishes international/on-campus availability</x:v>
      </x:c>
      <x:c r="J59" s="46" t="str">
        <x:v>Madras Street Campus</x:v>
      </x:c>
      <x:c r="K59" s="46" t="str">
        <x:v>3 Years (part-time options available)</x:v>
      </x:c>
      <x:c r="L59" s="46"/>
      <x:c r="M59" s="46" t="str">
        <x:v>15 February 2027</x:v>
      </x:c>
      <x:c r="N59" s="46" t="str">
        <x:v>$26,572 per year</x:v>
      </x:c>
      <x:c r="O59" s="46" t="str">
        <x:v>per year</x:v>
      </x:c>
      <x:c r="P59" s="46" t="str">
        <x:v>2026</x:v>
      </x:c>
      <x:c r="Q59" s="46" t="str">
        <x:v>Not published; 2026 fee shown only</x:v>
      </x:c>
      <x:c r="R59" s="46" t="str">
        <x:v>University Entrance as specified by the New Zealand Qualifications Authority (NZQA)OR New Zealand Certificate in Study and Employment Pathways (Level 4) Construction and ICT PathwayOR a qualification on the New Zealand Qualifications Framework at Level 4 or above in a related discipline.If you have undertaken examinations other than NCEA (e.g. International Baccalaureate, Cambridge Examination), Ara will assess your qualification for academic entry equivalency.</x:v>
      </x:c>
      <x:c r="S59"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assessment.What if I have achieved New Zealand University Entrance?If you have achieved New Zealand University Entrance requirements, you are not required to provide evidence of English language skills. Selection Criteria Applican</x:v>
      </x:c>
      <x:c r="T59" s="46"/>
      <x:c r="U59" s="46" t="str">
        <x:v>Ara funding assistance page; no automatic international award confirmed unless stated on the programme page.</x:v>
      </x:c>
      <x:c r="V59" s="59" t="str">
        <x:v>https://www.ara.ac.nz/products/programme/ch3866-deng-bachelor-of-information-and-communication-technologies/</x:v>
      </x:c>
      <x:c r="W59" s="59" t="str">
        <x:v>https://search.ara.ac.nz/siteassets/documents---home/study/priority-learning-groups/international-students/international-brochures--study-guide/international-prospectus-2026.pdf</x:v>
      </x:c>
      <x:c r="X59" s="46" t="str">
        <x:v>2026-07-29</x:v>
      </x:c>
      <x:c r="Y59" s="46" t="str">
        <x:v>Double-checked: live programme page + official international source</x:v>
      </x:c>
      <x:c r="Z59" s="46" t="str">
        <x:v>Live page explicitly states the programme may be available for a Study Visa. 2027 fee not inferred from 2026.</x:v>
      </x:c>
      <x:c r="AA59" s="46"/>
      <x:c r="AB59" s="46" t="str">
        <x:v>Published by provider</x:v>
      </x:c>
      <x:c r="AC59" s="47" t="str">
        <x:v>15 February 2027</x:v>
      </x:c>
    </x:row>
    <x:row r="60" ht="48" customHeight="1">
      <x:c r="A60" s="51" t="str">
        <x:v>Ara Institute of Canterbury</x:v>
      </x:c>
      <x:c r="B60" s="52" t="str">
        <x:v>Ara</x:v>
      </x:c>
      <x:c r="C60" s="52" t="str">
        <x:v>Engineering</x:v>
      </x:c>
      <x:c r="D60" s="52" t="str">
        <x:v>Bachelor of Information and Communications Technologies (Network Engineering)</x:v>
      </x:c>
      <x:c r="E60" s="52"/>
      <x:c r="F60" s="52" t="n">
        <x:v>7</x:v>
      </x:c>
      <x:c r="G60" s="52" t="str">
        <x:v>Bachelor's Degree</x:v>
      </x:c>
      <x:c r="H60" s="52" t="str">
        <x:v>On campus / in-person (may include blended components)</x:v>
      </x:c>
      <x:c r="I60" s="52" t="str">
        <x:v>Yes — provider publishes international/on-campus availability</x:v>
      </x:c>
      <x:c r="J60" s="52" t="str">
        <x:v>Madras Street Campus</x:v>
      </x:c>
      <x:c r="K60" s="52" t="str">
        <x:v>3 Years (part-time options available)</x:v>
      </x:c>
      <x:c r="L60" s="52"/>
      <x:c r="M60" s="52" t="str">
        <x:v>15 February 2027</x:v>
      </x:c>
      <x:c r="N60" s="52" t="str">
        <x:v>$26,572 per year</x:v>
      </x:c>
      <x:c r="O60" s="52" t="str">
        <x:v>per year</x:v>
      </x:c>
      <x:c r="P60" s="52" t="str">
        <x:v>2026</x:v>
      </x:c>
      <x:c r="Q60" s="52" t="str">
        <x:v>Not published; 2026 fee shown only</x:v>
      </x:c>
      <x:c r="R60" s="52" t="str">
        <x:v>New Zealand University Entrance: NCEA Level 3 (60 credits at level 3 and 20 credits at level 2 or higher) which must include:14 credits at Level 3 in each of:mathematics or physics or statistics or accountingEnglish or history or art history or classics or geography or economicsOne other subject from the list of approved subjects*Literacy* - 10 credits at Level 2 or above, made up of 5 credits in reading, 5 credits in writing, andNumeracy* - 10 credits at Level 1 or above (specified achievement standards, or unit standards 26623, 26626, 26627)OR one of the following:New Zealand Diploma in Information Technology Technical Support Level 5New Zealand Diploma in Web Development and Design Level 5New Zealand Diploma in Networking Level 6New Zealand Diploma in Systems Administration Level 6OR Ne</x:v>
      </x:c>
      <x:c r="S60"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60" s="52"/>
      <x:c r="U60" s="52" t="str">
        <x:v>Ara funding assistance page; no automatic international award confirmed unless stated on the programme page.</x:v>
      </x:c>
      <x:c r="V60" s="58" t="str">
        <x:v>https://www.ara.ac.nz/products/programme/ch3866-newt-bachelor-of-information-and-communication-technologies/</x:v>
      </x:c>
      <x:c r="W60" s="58" t="str">
        <x:v>https://search.ara.ac.nz/siteassets/documents---home/study/priority-learning-groups/international-students/international-brochures--study-guide/international-prospectus-2026.pdf</x:v>
      </x:c>
      <x:c r="X60" s="52" t="str">
        <x:v>2026-07-29</x:v>
      </x:c>
      <x:c r="Y60" s="52" t="str">
        <x:v>Double-checked: live programme page + official international source</x:v>
      </x:c>
      <x:c r="Z60" s="52" t="str">
        <x:v>Live page explicitly states the programme may be available for a Study Visa. 2027 fee not inferred from 2026.</x:v>
      </x:c>
      <x:c r="AA60" s="52"/>
      <x:c r="AB60" s="52" t="str">
        <x:v>Published by provider</x:v>
      </x:c>
      <x:c r="AC60" s="53" t="str">
        <x:v>15 February 2027</x:v>
      </x:c>
    </x:row>
    <x:row r="61" ht="48" customHeight="1">
      <x:c r="A61" s="45" t="str">
        <x:v>Ara Institute of Canterbury</x:v>
      </x:c>
      <x:c r="B61" s="46" t="str">
        <x:v>Ara</x:v>
      </x:c>
      <x:c r="C61" s="46" t="str">
        <x:v>Engineering</x:v>
      </x:c>
      <x:c r="D61" s="46" t="str">
        <x:v>Bachelor of Information and Communications Technologies (Software Engineering)</x:v>
      </x:c>
      <x:c r="E61" s="46"/>
      <x:c r="F61" s="46" t="n">
        <x:v>7</x:v>
      </x:c>
      <x:c r="G61" s="46" t="str">
        <x:v>Bachelor's Degree</x:v>
      </x:c>
      <x:c r="H61" s="46" t="str">
        <x:v>On campus / in-person (may include blended components)</x:v>
      </x:c>
      <x:c r="I61" s="46" t="str">
        <x:v>Yes — provider publishes international/on-campus availability</x:v>
      </x:c>
      <x:c r="J61" s="46" t="str">
        <x:v>Madras Street Campus</x:v>
      </x:c>
      <x:c r="K61" s="46" t="str">
        <x:v>3 Years (part-time options available)</x:v>
      </x:c>
      <x:c r="L61" s="46"/>
      <x:c r="M61" s="46" t="str">
        <x:v>15 February 2027</x:v>
      </x:c>
      <x:c r="N61" s="46" t="str">
        <x:v>$26,572 per year</x:v>
      </x:c>
      <x:c r="O61" s="46" t="str">
        <x:v>per year</x:v>
      </x:c>
      <x:c r="P61" s="46" t="str">
        <x:v>2026</x:v>
      </x:c>
      <x:c r="Q61" s="46" t="str">
        <x:v>Not published; 2026 fee shown only</x:v>
      </x:c>
      <x:c r="R61" s="46" t="str">
        <x:v>University Entrance as specified by the New Zealand Qualifications Authority (NZQA)OR New Zealand Certificate in Study and Employment Pathways (Level 4) Construction and ICT PathwayOR a qualification on the New Zealand Qualifications Framework at Level 4 or above in a related discipline.If you have undertaken examinations other than NCEA (e.g. International Baccalaureate, Cambridge Examination), Ara will assess your qualification for academic entry equivalency.</x:v>
      </x:c>
      <x:c r="S61"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assessment.What if I have achieved New Zealand University Entrance?If you have achieved New Zealand University Entrance requirements, you are not required to provide evidence of English language skills. Selection Criteria Applican</x:v>
      </x:c>
      <x:c r="T61" s="46"/>
      <x:c r="U61" s="46" t="str">
        <x:v>Ara funding assistance page; no automatic international award confirmed unless stated on the programme page.</x:v>
      </x:c>
      <x:c r="V61" s="59" t="str">
        <x:v>https://www.ara.ac.nz/products/programme/ch3866-sofe-bachelor-of-information-and-communication-technologies/</x:v>
      </x:c>
      <x:c r="W61" s="59" t="str">
        <x:v>https://search.ara.ac.nz/siteassets/documents---home/study/priority-learning-groups/international-students/international-brochures--study-guide/international-prospectus-2026.pdf</x:v>
      </x:c>
      <x:c r="X61" s="46" t="str">
        <x:v>2026-07-29</x:v>
      </x:c>
      <x:c r="Y61" s="46" t="str">
        <x:v>Double-checked: live programme page + official international source</x:v>
      </x:c>
      <x:c r="Z61" s="46" t="str">
        <x:v>Live page explicitly states the programme may be available for a Study Visa. 2027 fee not inferred from 2026.</x:v>
      </x:c>
      <x:c r="AA61" s="46"/>
      <x:c r="AB61" s="46" t="str">
        <x:v>Published by provider</x:v>
      </x:c>
      <x:c r="AC61" s="47" t="str">
        <x:v>15 February 2027</x:v>
      </x:c>
    </x:row>
    <x:row r="62" ht="48" customHeight="1">
      <x:c r="A62" s="51" t="str">
        <x:v>Ara Institute of Canterbury</x:v>
      </x:c>
      <x:c r="B62" s="52" t="str">
        <x:v>Ara</x:v>
      </x:c>
      <x:c r="C62" s="52" t="str">
        <x:v>English Language</x:v>
      </x:c>
      <x:c r="D62" s="52" t="str">
        <x:v>CELTA - Certificate in Teaching English to Speakers of Other Languages</x:v>
      </x:c>
      <x:c r="E62" s="52"/>
      <x:c r="F62" s="52" t="n">
        <x:v>5</x:v>
      </x:c>
      <x:c r="G62" s="52" t="str">
        <x:v>Certificate</x:v>
      </x:c>
      <x:c r="H62" s="52" t="str">
        <x:v>On campus / in-person (may include blended components)</x:v>
      </x:c>
      <x:c r="I62" s="52" t="str">
        <x:v>Yes — provider publishes international/on-campus availability</x:v>
      </x:c>
      <x:c r="J62" s="52" t="str">
        <x:v>Madras Street Campus; Online / Distance / Extramural Delivery</x:v>
      </x:c>
      <x:c r="K62" s="52" t="str">
        <x:v>4 Weeks (part-time options available)</x:v>
      </x:c>
      <x:c r="L62" s="52" t="str">
        <x:v>07 November 2026</x:v>
      </x:c>
      <x:c r="M62" s="52" t="str">
        <x:v>18 June 2027; 05 July 2027; 06 November 2027</x:v>
      </x:c>
      <x:c r="N62" s="52" t="str">
        <x:v>$26,572 per year</x:v>
      </x:c>
      <x:c r="O62" s="52" t="str">
        <x:v>See 2026 prospectus; programme dependent</x:v>
      </x:c>
      <x:c r="P62" s="52" t="str">
        <x:v>2026</x:v>
      </x:c>
      <x:c r="Q62" s="52" t="str">
        <x:v>Not published; 2026 fee shown only</x:v>
      </x:c>
      <x:c r="R62" s="52" t="str">
        <x:v>Entry is governed by the entry regulations as set out by Cambridge ESOL Examination. Applicants must have achieved the credits required for University Entrance. Additional Requirements You must submit a written pre-interview task and attend an interview during which language proficiency will be assessed.</x:v>
      </x:c>
      <x:c r="S62"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62" s="52"/>
      <x:c r="U62" s="52" t="str">
        <x:v>Ara funding assistance page; no automatic international award confirmed unless stated on the programme page.</x:v>
      </x:c>
      <x:c r="V62" s="58" t="str">
        <x:v>https://www.ara.ac.nz/products/programme/g07011-stru-celta-certificate-in-english-language-teaching-to-speakers-of-other-languages/</x:v>
      </x:c>
      <x:c r="W62" s="58" t="str">
        <x:v>https://search.ara.ac.nz/siteassets/documents---home/study/priority-learning-groups/international-students/international-brochures--study-guide/international-prospectus-2026.pdf</x:v>
      </x:c>
      <x:c r="X62" s="52" t="str">
        <x:v>2026-07-29</x:v>
      </x:c>
      <x:c r="Y62" s="52" t="str">
        <x:v>Double-checked: live programme page + official international source</x:v>
      </x:c>
      <x:c r="Z62" s="52" t="str">
        <x:v>Live page explicitly states the programme may be available for a Study Visa. 2027 fee not inferred from 2026.</x:v>
      </x:c>
      <x:c r="AA62" s="52"/>
      <x:c r="AB62" s="52" t="str">
        <x:v>Published by provider</x:v>
      </x:c>
      <x:c r="AC62" s="53" t="str">
        <x:v>18 June 2027; 05 July 2027; 06 November 2027</x:v>
      </x:c>
    </x:row>
    <x:row r="63" ht="48" customHeight="1">
      <x:c r="A63" s="45" t="str">
        <x:v>Ara Institute of Canterbury</x:v>
      </x:c>
      <x:c r="B63" s="46" t="str">
        <x:v>Ara</x:v>
      </x:c>
      <x:c r="C63" s="46" t="str">
        <x:v>English Language</x:v>
      </x:c>
      <x:c r="D63" s="46" t="str">
        <x:v>Certificate in English Language (Level 5)</x:v>
      </x:c>
      <x:c r="E63" s="46"/>
      <x:c r="F63" s="46" t="n">
        <x:v>5</x:v>
      </x:c>
      <x:c r="G63" s="46" t="str">
        <x:v>Certificate</x:v>
      </x:c>
      <x:c r="H63" s="46" t="str">
        <x:v>On campus / in-person (may include blended components)</x:v>
      </x:c>
      <x:c r="I63" s="46" t="str">
        <x:v>Yes — provider publishes international/on-campus availability</x:v>
      </x:c>
      <x:c r="J63" s="46" t="str">
        <x:v>Madras Street Campus</x:v>
      </x:c>
      <x:c r="K63" s="46" t="str">
        <x:v>20 Weeks</x:v>
      </x:c>
      <x:c r="L63" s="46" t="str">
        <x:v>14 September 2026</x:v>
      </x:c>
      <x:c r="M63" s="46" t="str">
        <x:v>08 February 2027; 19 July 2027</x:v>
      </x:c>
      <x:c r="N63" s="46" t="str">
        <x:v>$26,572 per year</x:v>
      </x:c>
      <x:c r="O63" s="46" t="str">
        <x:v>See 2026 prospectus; programme dependent</x:v>
      </x:c>
      <x:c r="P63" s="46" t="str">
        <x:v>2026</x:v>
      </x:c>
      <x:c r="Q63" s="46" t="str">
        <x:v>Not published; 2026 fee shown only</x:v>
      </x:c>
      <x:c r="R63" s="46" t="str">
        <x:v>This programme has open entry.</x:v>
      </x:c>
      <x:c r="S63" s="46" t="str">
        <x:v>There is no specific English language entry requirement as English level will be assessed through placement testing.Applicants who present current and valid evidence of previous English language study will have this taken into account in placement decisions Selection Criteria The level of the programme in which the student enrols will be determined by an initial placement test.Placement tests are held prior to the start of each semester and consist of a computer-based test of listening, grammar, reading and vocabulary, a written test and an interviewAll applicants are offered a place in the appropriate level certificate</x:v>
      </x:c>
      <x:c r="T63" s="46"/>
      <x:c r="U63" s="46" t="str">
        <x:v>Ara funding assistance page; no automatic international award confirmed unless stated on the programme page.</x:v>
      </x:c>
      <x:c r="V63" s="59" t="str">
        <x:v>https://www.ara.ac.nz/products/programme/nz1884-stru-new-zealand-certificate-in-english-language/</x:v>
      </x:c>
      <x:c r="W63" s="59" t="str">
        <x:v>https://search.ara.ac.nz/siteassets/documents---home/study/priority-learning-groups/international-students/international-brochures--study-guide/international-prospectus-2026.pdf</x:v>
      </x:c>
      <x:c r="X63" s="46" t="str">
        <x:v>2026-07-29</x:v>
      </x:c>
      <x:c r="Y63" s="46" t="str">
        <x:v>Double-checked: live programme page + official international source</x:v>
      </x:c>
      <x:c r="Z63" s="46" t="str">
        <x:v>Live page explicitly states the programme may be available for a Study Visa. 2027 fee not inferred from 2026.</x:v>
      </x:c>
      <x:c r="AA63" s="46"/>
      <x:c r="AB63" s="46" t="str">
        <x:v>Published by provider</x:v>
      </x:c>
      <x:c r="AC63" s="47" t="str">
        <x:v>08 February 2027; 19 July 2027</x:v>
      </x:c>
    </x:row>
    <x:row r="64" ht="48" customHeight="1">
      <x:c r="A64" s="51" t="str">
        <x:v>Ara Institute of Canterbury</x:v>
      </x:c>
      <x:c r="B64" s="52" t="str">
        <x:v>Ara</x:v>
      </x:c>
      <x:c r="C64" s="52" t="str">
        <x:v>English Language</x:v>
      </x:c>
      <x:c r="D64" s="52" t="str">
        <x:v>Certificate in English Language (Academic) (Level 4)</x:v>
      </x:c>
      <x:c r="E64" s="52"/>
      <x:c r="F64" s="52" t="n">
        <x:v>4</x:v>
      </x:c>
      <x:c r="G64" s="52" t="str">
        <x:v>Certificate</x:v>
      </x:c>
      <x:c r="H64" s="52" t="str">
        <x:v>On campus / in-person (may include blended components)</x:v>
      </x:c>
      <x:c r="I64" s="52" t="str">
        <x:v>Yes — provider publishes international/on-campus availability</x:v>
      </x:c>
      <x:c r="J64" s="52" t="str">
        <x:v>Madras Street Campus</x:v>
      </x:c>
      <x:c r="K64" s="52" t="str">
        <x:v>20 Weeks</x:v>
      </x:c>
      <x:c r="L64" s="52" t="str">
        <x:v>14 September 2026</x:v>
      </x:c>
      <x:c r="M64" s="52"/>
      <x:c r="N64" s="52" t="str">
        <x:v>$13,286 per 60 credits or $26,572 per 120 credits (programme dependent)</x:v>
      </x:c>
      <x:c r="O64" s="52" t="str">
        <x:v>See 2026 prospectus; programme dependent</x:v>
      </x:c>
      <x:c r="P64" s="52" t="str">
        <x:v>2026</x:v>
      </x:c>
      <x:c r="Q64" s="52" t="str">
        <x:v>No 2027 intake in this verified row</x:v>
      </x:c>
      <x:c r="R64" s="52" t="str">
        <x:v>This programme has open entry.</x:v>
      </x:c>
      <x:c r="S64" s="52" t="str">
        <x:v>There is no specific English language entry requirement as English level will be assessed through placement testing.Applicants who present current and valid evidence of previous English language study will have this taken into account in placement decisions Selection Criteria The level of the programme in which the student enrols will be determined by an initial placement test.Placement tests are held prior to the start of each semester and consist of a computer-based test of listening, grammar, reading and vocabulary, a written test and an interviewAll applicants are offered a place in the appropriate level certificate</x:v>
      </x:c>
      <x:c r="T64" s="52"/>
      <x:c r="U64" s="52" t="str">
        <x:v>Ara funding assistance page; no automatic international award confirmed unless stated on the programme page.</x:v>
      </x:c>
      <x:c r="V64" s="58" t="str">
        <x:v>https://www.ara.ac.nz/products/programme/nz1883-stru-new-zealand-certificate-in-english-language-academic/</x:v>
      </x:c>
      <x:c r="W64" s="58" t="str">
        <x:v>https://search.ara.ac.nz/siteassets/documents---home/study/priority-learning-groups/international-students/international-brochures--study-guide/international-prospectus-2026.pdf</x:v>
      </x:c>
      <x:c r="X64" s="52" t="str">
        <x:v>2026-07-29</x:v>
      </x:c>
      <x:c r="Y64" s="52" t="str">
        <x:v>Double-checked: live programme page + official international source</x:v>
      </x:c>
      <x:c r="Z64" s="52" t="str">
        <x:v>Live page explicitly states the programme may be available for a Study Visa. 2027 fee not inferred from 2026. 2027 planning date is projected from the 2026 start pattern and is not provider-confirmed.</x:v>
      </x:c>
      <x:c r="AA64" s="52" t="str">
        <x:v>Projected from 2026 pattern: 14 September 2027</x:v>
      </x:c>
      <x:c r="AB64" s="52" t="str">
        <x:v>Projected from 2026 pattern — not provider-published; reconfirm before application</x:v>
      </x:c>
      <x:c r="AC64" s="53" t="str">
        <x:v>Projected from 2026 pattern: 14 September 2027</x:v>
      </x:c>
    </x:row>
    <x:row r="65" ht="48" customHeight="1">
      <x:c r="A65" s="45" t="str">
        <x:v>Ara Institute of Canterbury</x:v>
      </x:c>
      <x:c r="B65" s="46" t="str">
        <x:v>Ara</x:v>
      </x:c>
      <x:c r="C65" s="46" t="str">
        <x:v>Foundation &amp; Pathways</x:v>
      </x:c>
      <x:c r="D65" s="46" t="str">
        <x:v>New Zealand Certificate in Study and Employment (Level 4) Open Pathway</x:v>
      </x:c>
      <x:c r="E65" s="46"/>
      <x:c r="F65" s="46" t="n">
        <x:v>4</x:v>
      </x:c>
      <x:c r="G65" s="46" t="str">
        <x:v>Certificate</x:v>
      </x:c>
      <x:c r="H65" s="46" t="str">
        <x:v>On campus / in-person (may include blended components)</x:v>
      </x:c>
      <x:c r="I65" s="46" t="str">
        <x:v>Yes — provider publishes international/on-campus availability</x:v>
      </x:c>
      <x:c r="J65" s="46" t="str">
        <x:v>Madras Street Campus</x:v>
      </x:c>
      <x:c r="K65" s="46" t="str">
        <x:v>19 Weeks (part-time options available)</x:v>
      </x:c>
      <x:c r="L65" s="46"/>
      <x:c r="M65" s="46" t="str">
        <x:v>15 February 2027; 19 July 2027</x:v>
      </x:c>
      <x:c r="N65" s="46" t="str">
        <x:v>$13,286 per year</x:v>
      </x:c>
      <x:c r="O65" s="46" t="str">
        <x:v>per year</x:v>
      </x:c>
      <x:c r="P65" s="46" t="str">
        <x:v>2026</x:v>
      </x:c>
      <x:c r="Q65" s="46" t="str">
        <x:v>Not published; 2026 fee shown only</x:v>
      </x:c>
      <x:c r="R65" s="46" t="str">
        <x:v>40 credits NCEA Level 2, including 10 Level 1 Literacy credits and 10 Level 1 Mathematic credits (with a strength in Algebra for the Engineering and Construction and ICT Pathways and Numeracy for other pathways)Please note that statistics and probability do not count towards this mathematics credits requirement.OR New Zealand Certificate in Study and Employment (Level 3)If you have undertaken examinations other than NCEA (e.g. International Baccalaureate, Cambridge Examination), Ara will assess your qualification for academic entry equivalency.</x:v>
      </x:c>
      <x:c r="S65"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65" s="46"/>
      <x:c r="U65" s="46" t="str">
        <x:v>Ara funding assistance page; no automatic international award confirmed unless stated on the programme page.</x:v>
      </x:c>
      <x:c r="V65" s="59" t="str">
        <x:v>https://www.ara.ac.nz/products/programme/nz2860-opc-new-zealand-certificate-in-study-and-employment-level-4-open-pathway/</x:v>
      </x:c>
      <x:c r="W65" s="59" t="str">
        <x:v>https://search.ara.ac.nz/siteassets/documents---home/study/priority-learning-groups/international-students/international-brochures--study-guide/international-prospectus-2026.pdf</x:v>
      </x:c>
      <x:c r="X65" s="46" t="str">
        <x:v>2026-07-29</x:v>
      </x:c>
      <x:c r="Y65" s="46" t="str">
        <x:v>Double-checked: live programme page + official international source</x:v>
      </x:c>
      <x:c r="Z65" s="46" t="str">
        <x:v>Live page explicitly states the programme may be available for a Study Visa. 2027 fee not inferred from 2026.</x:v>
      </x:c>
      <x:c r="AA65" s="46"/>
      <x:c r="AB65" s="46" t="str">
        <x:v>Published by provider</x:v>
      </x:c>
      <x:c r="AC65" s="47" t="str">
        <x:v>15 February 2027; 19 July 2027</x:v>
      </x:c>
    </x:row>
    <x:row r="66" ht="48" customHeight="1">
      <x:c r="A66" s="51" t="str">
        <x:v>Ara Institute of Canterbury</x:v>
      </x:c>
      <x:c r="B66" s="52" t="str">
        <x:v>Ara</x:v>
      </x:c>
      <x:c r="C66" s="52" t="str">
        <x:v>Health &amp; Nursing</x:v>
      </x:c>
      <x:c r="D66" s="52" t="str">
        <x:v>Postgraduate Diploma in Osteopathy</x:v>
      </x:c>
      <x:c r="E66" s="52"/>
      <x:c r="F66" s="52" t="n">
        <x:v>8</x:v>
      </x:c>
      <x:c r="G66" s="52" t="str">
        <x:v>Postgraduate Diploma</x:v>
      </x:c>
      <x:c r="H66" s="52" t="str">
        <x:v>On campus / in-person (may include blended components)</x:v>
      </x:c>
      <x:c r="I66" s="52" t="str">
        <x:v>Yes — provider publishes international/on-campus availability</x:v>
      </x:c>
      <x:c r="J66" s="52" t="str">
        <x:v>Madras Street Campus</x:v>
      </x:c>
      <x:c r="K66" s="52" t="str">
        <x:v>1 Year</x:v>
      </x:c>
      <x:c r="L66" s="52"/>
      <x:c r="M66" s="52" t="str">
        <x:v>15 February 2027</x:v>
      </x:c>
      <x:c r="N66" s="52" t="str">
        <x:v>$29,229 per year</x:v>
      </x:c>
      <x:c r="O66" s="52" t="str">
        <x:v>See 2026 prospectus; programme dependent</x:v>
      </x:c>
      <x:c r="P66" s="52" t="str">
        <x:v>2026</x:v>
      </x:c>
      <x:c r="Q66" s="52" t="str">
        <x:v>Not published; 2026 fee shown only</x:v>
      </x:c>
      <x:c r="R66" s="52" t="str">
        <x:v>Bachelor of Musculoskeletal Health. Additional Requirements In order to access an individual placement in this programme, you may be required to provide evidence of immunity to particular infectious diseases or other health requirements specific to the practiceConsent to Disclosure of Information:Successful applicants will be required to complete a New Zealand Police Consent to Disclosure of Information form.The form will be sent by Ara to the Police Licensing and Vetting Service, and returned in confidence to the Head of Department.Information on the NZ Police Vetting Service is available from the New Zealand Police website.</x:v>
      </x:c>
      <x:c r="S66"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66" s="52"/>
      <x:c r="U66" s="52" t="str">
        <x:v>Ara funding assistance page; no automatic international award confirmed unless stated on the programme page.</x:v>
      </x:c>
      <x:c r="V66" s="58" t="str">
        <x:v>https://www.ara.ac.nz/products/programme/ch4064-stru-postgraduate-diploma-in-osteopathy/</x:v>
      </x:c>
      <x:c r="W66" s="58" t="str">
        <x:v>https://search.ara.ac.nz/siteassets/documents---home/study/priority-learning-groups/international-students/international-brochures--study-guide/international-prospectus-2026.pdf</x:v>
      </x:c>
      <x:c r="X66" s="52" t="str">
        <x:v>2026-07-29</x:v>
      </x:c>
      <x:c r="Y66" s="52" t="str">
        <x:v>Double-checked: live programme page + official international source</x:v>
      </x:c>
      <x:c r="Z66" s="52" t="str">
        <x:v>Live page explicitly states the programme may be available for a Study Visa. 2027 fee not inferred from 2026.</x:v>
      </x:c>
      <x:c r="AA66" s="52"/>
      <x:c r="AB66" s="52" t="str">
        <x:v>Published by provider</x:v>
      </x:c>
      <x:c r="AC66" s="53" t="str">
        <x:v>15 February 2027</x:v>
      </x:c>
    </x:row>
    <x:row r="67" ht="48" customHeight="1">
      <x:c r="A67" s="45" t="str">
        <x:v>Ara Institute of Canterbury</x:v>
      </x:c>
      <x:c r="B67" s="46" t="str">
        <x:v>Ara</x:v>
      </x:c>
      <x:c r="C67" s="46" t="str">
        <x:v>Health &amp; Nursing</x:v>
      </x:c>
      <x:c r="D67" s="46" t="str">
        <x:v>Bachelor of Applied Science (Health Promotion)</x:v>
      </x:c>
      <x:c r="E67" s="46"/>
      <x:c r="F67" s="46" t="n">
        <x:v>7</x:v>
      </x:c>
      <x:c r="G67" s="46" t="str">
        <x:v>Bachelor's Degree</x:v>
      </x:c>
      <x:c r="H67" s="46" t="str">
        <x:v>On campus / in-person (may include blended components)</x:v>
      </x:c>
      <x:c r="I67" s="46" t="str">
        <x:v>Yes — provider publishes international/on-campus availability</x:v>
      </x:c>
      <x:c r="J67" s="46" t="str">
        <x:v>Madras Street Campus</x:v>
      </x:c>
      <x:c r="K67" s="46" t="str">
        <x:v>3 Years (part-time options available)</x:v>
      </x:c>
      <x:c r="L67" s="46"/>
      <x:c r="M67" s="46" t="str">
        <x:v>15 February 2027</x:v>
      </x:c>
      <x:c r="N67" s="46" t="str">
        <x:v>$26,572 per year</x:v>
      </x:c>
      <x:c r="O67" s="46" t="str">
        <x:v>per year</x:v>
      </x:c>
      <x:c r="P67" s="46" t="str">
        <x:v>2026</x:v>
      </x:c>
      <x:c r="Q67" s="46" t="str">
        <x:v>Not published; 2026 fee shown only</x:v>
      </x:c>
      <x:c r="R67" s="46" t="str">
        <x:v>University Entrance as defined by New Zealand Qualifications Authority (NZQA), which must include:14 credits at Level 3 in each of:Biology or Physical Education or Health Educationanother subject, preferably Physics, Statistics, Mathematics, Chemistry, Geography or Psychology.(Human Nutrition specialisation applicants must have a minimum of 14 credits in Chemistry at Level 2 or alternative as approved by the specialisation coordinator.)one other subject from the list of approved subjects*OR successful completion of NZ3563 New Zealand Certificate in Exercise (Level 4) or New Zealand Certificate in Study and Employment Pathways (Level 4) Pre Health Pathway or equivalent* NZQA approved subjects: see https://www2.nzqa.govt.nz/ncea/understanding-secondary-quals/university-entrance/If you have u</x:v>
      </x:c>
      <x:c r="S67"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67" s="46"/>
      <x:c r="U67" s="46" t="str">
        <x:v>Ara funding assistance page; no automatic international award confirmed unless stated on the programme page.</x:v>
      </x:c>
      <x:c r="V67" s="59" t="str">
        <x:v>https://www.ara.ac.nz/products/programme/ch3981-hepr-bachelor-of-applied-science-health-promotion/</x:v>
      </x:c>
      <x:c r="W67" s="59" t="str">
        <x:v>https://search.ara.ac.nz/siteassets/documents---home/study/priority-learning-groups/international-students/international-brochures--study-guide/international-prospectus-2026.pdf</x:v>
      </x:c>
      <x:c r="X67" s="46" t="str">
        <x:v>2026-07-29</x:v>
      </x:c>
      <x:c r="Y67" s="46" t="str">
        <x:v>Double-checked: live programme page + official international source</x:v>
      </x:c>
      <x:c r="Z67" s="46" t="str">
        <x:v>Live page explicitly states the programme may be available for a Study Visa. 2027 fee not inferred from 2026.</x:v>
      </x:c>
      <x:c r="AA67" s="46"/>
      <x:c r="AB67" s="46" t="str">
        <x:v>Published by provider</x:v>
      </x:c>
      <x:c r="AC67" s="47" t="str">
        <x:v>15 February 2027</x:v>
      </x:c>
    </x:row>
    <x:row r="68" ht="48" customHeight="1">
      <x:c r="A68" s="51" t="str">
        <x:v>Ara Institute of Canterbury</x:v>
      </x:c>
      <x:c r="B68" s="52" t="str">
        <x:v>Ara</x:v>
      </x:c>
      <x:c r="C68" s="52" t="str">
        <x:v>Health &amp; Nursing</x:v>
      </x:c>
      <x:c r="D68" s="52" t="str">
        <x:v>Bachelor of Midwifery</x:v>
      </x:c>
      <x:c r="E68" s="52"/>
      <x:c r="F68" s="52" t="n">
        <x:v>7</x:v>
      </x:c>
      <x:c r="G68" s="52" t="str">
        <x:v>Bachelor's Degree</x:v>
      </x:c>
      <x:c r="H68" s="52" t="str">
        <x:v>On campus / in-person (may include blended components)</x:v>
      </x:c>
      <x:c r="I68" s="52" t="str">
        <x:v>Yes — provider publishes international/on-campus availability</x:v>
      </x:c>
      <x:c r="J68" s="52" t="str">
        <x:v>Christchurch; Mid/South Canterbury; West Coast; Nelson/Marlborough (blended regional delivery)</x:v>
      </x:c>
      <x:c r="K68" s="52" t="str">
        <x:v>4 Years</x:v>
      </x:c>
      <x:c r="L68" s="52"/>
      <x:c r="M68" s="52" t="str">
        <x:v>02 February 2027</x:v>
      </x:c>
      <x:c r="N68" s="52" t="str">
        <x:v>$26,572 per year (engineering/health $29,761; programme page/prospectus controls)</x:v>
      </x:c>
      <x:c r="O68" s="52" t="str">
        <x:v>See 2026 prospectus; programme dependent</x:v>
      </x:c>
      <x:c r="P68" s="52" t="str">
        <x:v>2026</x:v>
      </x:c>
      <x:c r="Q68" s="52" t="str">
        <x:v>Not published; 2026 fee shown only</x:v>
      </x:c>
      <x:c r="R68" s="52" t="str">
        <x:v>New Zealand University Entrance – NCEA Level 3 consisting of:60 credits at Level 3 including:a minimum of 18 credits at Level 3 in biology, chemistry or physicsa minimum of 16 credits in an English rich subject (such as English, history, art history, classics, geography, economics or media studies)a further 16 credits at Level 3 or higher in two other subjects from the approved list of subjects*And 20 credits at Level 2 including:a minimum of 16 credits in biologya further 16 credits in chemistry or physics16 credits in another Level 2 subjectOr New Zealand Certificate in Study and Employment Pathways (Level 4) Pre Health Pathway or equivalentIf you have undertaken examinations other than NCEA (e.g. International Baccalaureate, Cambridge Examination), Ara will assess your qualification for</x:v>
      </x:c>
      <x:c r="S68" s="52" t="str">
        <x:v>What if English is not my first Language?If English is not your first language, you may also be required to provide evidence of English language skills as listed below.If the mimimum score is not achieved in one sitting, the applicant may resit the relevent component. A pass may be achieved over several sittings not more than 12 months apart.The English Language requirements for this programme are higher than the minimum set by NZQA, therefore applicants who have achieved NCEA Level 3 University Entrance may be required to provide evidence of English Language skills.The Midwifery Council accepts an OET test with passes at A or B level (350 or</x:v>
      </x:c>
      <x:c r="T68" s="52"/>
      <x:c r="U68" s="52" t="str">
        <x:v>Ara funding assistance page; no automatic international award confirmed unless stated on the programme page.</x:v>
      </x:c>
      <x:c r="V68" s="58" t="str">
        <x:v>https://www.ara.ac.nz/products/programme/tp5225-stru-bachelor-of-midwifery/</x:v>
      </x:c>
      <x:c r="W68" s="58" t="str">
        <x:v>https://search.ara.ac.nz/siteassets/documents---home/study/priority-learning-groups/international-students/international-brochures--study-guide/international-prospectus-2026.pdf</x:v>
      </x:c>
      <x:c r="X68" s="52" t="str">
        <x:v>2026-07-29</x:v>
      </x:c>
      <x:c r="Y68" s="52" t="str">
        <x:v>Double-checked: live programme page + official international source</x:v>
      </x:c>
      <x:c r="Z68" s="52" t="str">
        <x:v>Live page explicitly states the programme may be available for a Study Visa. 2027 fee not inferred from 2026.</x:v>
      </x:c>
      <x:c r="AA68" s="52"/>
      <x:c r="AB68" s="52" t="str">
        <x:v>Published by provider</x:v>
      </x:c>
      <x:c r="AC68" s="53" t="str">
        <x:v>02 February 2027</x:v>
      </x:c>
    </x:row>
    <x:row r="69" ht="48" customHeight="1">
      <x:c r="A69" s="45" t="str">
        <x:v>Ara Institute of Canterbury</x:v>
      </x:c>
      <x:c r="B69" s="46" t="str">
        <x:v>Ara</x:v>
      </x:c>
      <x:c r="C69" s="46" t="str">
        <x:v>Health &amp; Nursing</x:v>
      </x:c>
      <x:c r="D69" s="46" t="str">
        <x:v>Bachelor of Musculoskeletal Health</x:v>
      </x:c>
      <x:c r="E69" s="46"/>
      <x:c r="F69" s="46" t="n">
        <x:v>7</x:v>
      </x:c>
      <x:c r="G69" s="46" t="str">
        <x:v>Bachelor's Degree</x:v>
      </x:c>
      <x:c r="H69" s="46" t="str">
        <x:v>On campus / in-person (may include blended components)</x:v>
      </x:c>
      <x:c r="I69" s="46" t="str">
        <x:v>Yes — provider publishes international/on-campus availability</x:v>
      </x:c>
      <x:c r="J69" s="46" t="str">
        <x:v>Madras Street Campus</x:v>
      </x:c>
      <x:c r="K69" s="46" t="str">
        <x:v>3 Years</x:v>
      </x:c>
      <x:c r="L69" s="46"/>
      <x:c r="M69" s="46" t="str">
        <x:v>15 February 2027</x:v>
      </x:c>
      <x:c r="N69" s="46" t="str">
        <x:v>$26,572 per year (engineering/health $29,761; programme page/prospectus controls)</x:v>
      </x:c>
      <x:c r="O69" s="46" t="str">
        <x:v>See 2026 prospectus; programme dependent</x:v>
      </x:c>
      <x:c r="P69" s="46" t="str">
        <x:v>2026</x:v>
      </x:c>
      <x:c r="Q69" s="46" t="str">
        <x:v>Not published; 2026 fee shown only</x:v>
      </x:c>
      <x:c r="R69" s="46" t="str">
        <x:v>New Zealand University Entrance which must include:14 credits at Level 3 in each of:Biology or physical education or health educationAn English rich subjectOne other subject from the list of approved subjects*Or New Zealand Certificate in Study and Employment Pathways (Level 4) Pre Health Pathway or equivalentIf you have undertaken examinations other than NCEA (e.g. International Baccalaureate, Cambridge Examination), Ara will assess your qualification for academic entry equivalency.* NZQA approved subjects: see https://www2.nzqa.govt.nz/ncea/understanding-secondary-quals/university-entrance/ Additional Requirements In order to access an individual placement in this programme, you may be required to provide evidence of immunity to particular infectious diseases or other health requirements</x:v>
      </x:c>
      <x:c r="S69"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69" s="46"/>
      <x:c r="U69" s="46" t="str">
        <x:v>Ara funding assistance page; no automatic international award confirmed unless stated on the programme page.</x:v>
      </x:c>
      <x:c r="V69" s="59" t="str">
        <x:v>https://www.ara.ac.nz/products/programme/ch4063-musc-bachelor-of-musculoskeletal-health/</x:v>
      </x:c>
      <x:c r="W69" s="59" t="str">
        <x:v>https://search.ara.ac.nz/siteassets/documents---home/study/priority-learning-groups/international-students/international-brochures--study-guide/international-prospectus-2026.pdf</x:v>
      </x:c>
      <x:c r="X69" s="46" t="str">
        <x:v>2026-07-29</x:v>
      </x:c>
      <x:c r="Y69" s="46" t="str">
        <x:v>Double-checked: live programme page + official international source</x:v>
      </x:c>
      <x:c r="Z69" s="46" t="str">
        <x:v>Live page explicitly states the programme may be available for a Study Visa. 2027 fee not inferred from 2026.</x:v>
      </x:c>
      <x:c r="AA69" s="46"/>
      <x:c r="AB69" s="46" t="str">
        <x:v>Published by provider</x:v>
      </x:c>
      <x:c r="AC69" s="47" t="str">
        <x:v>15 February 2027</x:v>
      </x:c>
    </x:row>
    <x:row r="70" ht="48" customHeight="1">
      <x:c r="A70" s="51" t="str">
        <x:v>Ara Institute of Canterbury</x:v>
      </x:c>
      <x:c r="B70" s="52" t="str">
        <x:v>Ara</x:v>
      </x:c>
      <x:c r="C70" s="52" t="str">
        <x:v>Health &amp; Nursing</x:v>
      </x:c>
      <x:c r="D70" s="52" t="str">
        <x:v>New Zealand Diploma in Remedial Massage (Level 6)</x:v>
      </x:c>
      <x:c r="E70" s="52"/>
      <x:c r="F70" s="52" t="n">
        <x:v>6</x:v>
      </x:c>
      <x:c r="G70" s="52" t="str">
        <x:v>Diploma</x:v>
      </x:c>
      <x:c r="H70" s="52" t="str">
        <x:v>On campus / in-person (may include blended components)</x:v>
      </x:c>
      <x:c r="I70" s="52" t="str">
        <x:v>Yes — provider publishes international/on-campus availability</x:v>
      </x:c>
      <x:c r="J70" s="52" t="str">
        <x:v>Madras Street Campus</x:v>
      </x:c>
      <x:c r="K70" s="52" t="str">
        <x:v>1 Year</x:v>
      </x:c>
      <x:c r="L70" s="52"/>
      <x:c r="M70" s="52" t="str">
        <x:v>15 February 2027</x:v>
      </x:c>
      <x:c r="N70" s="52" t="str">
        <x:v>$26,572 per year (engineering $28,116; programme page/prospectus controls)</x:v>
      </x:c>
      <x:c r="O70" s="52" t="str">
        <x:v>See 2026 prospectus; programme dependent</x:v>
      </x:c>
      <x:c r="P70" s="52" t="str">
        <x:v>2026</x:v>
      </x:c>
      <x:c r="Q70" s="52" t="str">
        <x:v>Not published; 2026 fee shown only</x:v>
      </x:c>
      <x:c r="R70" s="52" t="str">
        <x:v>NZ2470 New Zealand Diploma in Wellness and Relaxation Massage (Level 5) or equivalentOR a recognised equivalentOR a relevant qualification at NZQF Level 4 or above Additional Requirements In addition you need to:Provide a declaration indicating a level of health and abilities commensurate with achieving practice competencies in the programme; further reports may be requested with the consent of the applicant.A declaration of all existing or pending criminal convictionsConsent to undergo a Police Vet Check</x:v>
      </x:c>
      <x:c r="S70"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0" s="52"/>
      <x:c r="U70" s="52" t="str">
        <x:v>Ara funding assistance page; no automatic international award confirmed unless stated on the programme page.</x:v>
      </x:c>
      <x:c r="V70" s="58" t="str">
        <x:v>https://www.ara.ac.nz/products/programme/nz2741-stru-new-zealand-diploma-in-remedial-massage-level-6/</x:v>
      </x:c>
      <x:c r="W70" s="58" t="str">
        <x:v>https://search.ara.ac.nz/siteassets/documents---home/study/priority-learning-groups/international-students/international-brochures--study-guide/international-prospectus-2026.pdf</x:v>
      </x:c>
      <x:c r="X70" s="52" t="str">
        <x:v>2026-07-29</x:v>
      </x:c>
      <x:c r="Y70" s="52" t="str">
        <x:v>Double-checked: live programme page + official international source</x:v>
      </x:c>
      <x:c r="Z70" s="52" t="str">
        <x:v>Live page explicitly states the programme may be available for a Study Visa. 2027 fee not inferred from 2026.</x:v>
      </x:c>
      <x:c r="AA70" s="52"/>
      <x:c r="AB70" s="52" t="str">
        <x:v>Published by provider</x:v>
      </x:c>
      <x:c r="AC70" s="53" t="str">
        <x:v>15 February 2027</x:v>
      </x:c>
    </x:row>
    <x:row r="71" ht="48" customHeight="1">
      <x:c r="A71" s="45" t="str">
        <x:v>Ara Institute of Canterbury</x:v>
      </x:c>
      <x:c r="B71" s="46" t="str">
        <x:v>Ara</x:v>
      </x:c>
      <x:c r="C71" s="46" t="str">
        <x:v>Health &amp; Nursing</x:v>
      </x:c>
      <x:c r="D71" s="46" t="str">
        <x:v>New Zealand Diploma in Veterinary Nursing (Level 6)</x:v>
      </x:c>
      <x:c r="E71" s="46"/>
      <x:c r="F71" s="46" t="n">
        <x:v>6</x:v>
      </x:c>
      <x:c r="G71" s="46" t="str">
        <x:v>Diploma</x:v>
      </x:c>
      <x:c r="H71" s="46" t="str">
        <x:v>On campus / in-person (may include blended components)</x:v>
      </x:c>
      <x:c r="I71" s="46" t="str">
        <x:v>Yes — provider publishes international/on-campus availability</x:v>
      </x:c>
      <x:c r="J71" s="46" t="str">
        <x:v>Madras Street Campus</x:v>
      </x:c>
      <x:c r="K71" s="46" t="str">
        <x:v>2 Years</x:v>
      </x:c>
      <x:c r="L71" s="46"/>
      <x:c r="M71" s="46" t="str">
        <x:v>15 February 2027</x:v>
      </x:c>
      <x:c r="N71" s="46" t="str">
        <x:v>$26,572 per year</x:v>
      </x:c>
      <x:c r="O71" s="46" t="str">
        <x:v>per year</x:v>
      </x:c>
      <x:c r="P71" s="46" t="str">
        <x:v>2026</x:v>
      </x:c>
      <x:c r="Q71" s="46" t="str">
        <x:v>Not published; 2026 fee shown only</x:v>
      </x:c>
      <x:c r="R71" s="46" t="str">
        <x:v>NCEA Level 2 or higher including:a minimum of 12 NCEA credits in English at Level 2a minimum of 12 NCEA credits in Mathematics at Level 1and a minimum of 12 credits of relevant science at Level 1OR a recognised equivalentOR New Zealand Certificate in Animal Healthcare Assisting (Level 4) with strands in Companion Animal Healthcare, Equine Healthcare and Rural Animal Healthcare [Ref: 4388];OR New Zealand Certificate in Animal Management (Level 4) with strands in Canine Behaviour and Training; Companion Animals; Fish, Amphibians and Reptiles; Pet Grooming, and Zookeeping [Ref: 2489];OR New Zealand Certificate in Animal Care with strands in Companion Animal, Equine, and Rural Animals (Level 3) [Ref: 2487] Additional Requirements In addition you need to:Complete a health declaration and declar</x:v>
      </x:c>
      <x:c r="S71"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assessment.IELTS scores used must be taken from a single IELTS Test Report Form and are valid for two years from the date of the test.What if I have achieved NCEA Level 3 University Entrance?You do not need to provide additional e</x:v>
      </x:c>
      <x:c r="T71" s="46"/>
      <x:c r="U71" s="46" t="str">
        <x:v>Ara funding assistance page; no automatic international award confirmed unless stated on the programme page.</x:v>
      </x:c>
      <x:c r="V71" s="59" t="str">
        <x:v>https://www.ara.ac.nz/products/programme/nz4389-copa-new-zealand-diploma-in-veterinary-nursing-level-6/</x:v>
      </x:c>
      <x:c r="W71" s="59" t="str">
        <x:v>https://search.ara.ac.nz/siteassets/documents---home/study/priority-learning-groups/international-students/international-brochures--study-guide/international-prospectus-2026.pdf</x:v>
      </x:c>
      <x:c r="X71" s="46" t="str">
        <x:v>2026-07-29</x:v>
      </x:c>
      <x:c r="Y71" s="46" t="str">
        <x:v>Double-checked: live programme page + official international source</x:v>
      </x:c>
      <x:c r="Z71" s="46" t="str">
        <x:v>Live page explicitly states the programme may be available for a Study Visa. 2027 fee not inferred from 2026.</x:v>
      </x:c>
      <x:c r="AA71" s="46"/>
      <x:c r="AB71" s="46" t="str">
        <x:v>Published by provider</x:v>
      </x:c>
      <x:c r="AC71" s="47" t="str">
        <x:v>15 February 2027</x:v>
      </x:c>
    </x:row>
    <x:row r="72" ht="48" customHeight="1">
      <x:c r="A72" s="51" t="str">
        <x:v>Ara Institute of Canterbury</x:v>
      </x:c>
      <x:c r="B72" s="52" t="str">
        <x:v>Ara</x:v>
      </x:c>
      <x:c r="C72" s="52" t="str">
        <x:v>Hospitality &amp; Tourism</x:v>
      </x:c>
      <x:c r="D72" s="52" t="str">
        <x:v>New Zealand Diploma in Cookery (Advanced) (Level 5) with a strand in Cookery</x:v>
      </x:c>
      <x:c r="E72" s="52"/>
      <x:c r="F72" s="52" t="n">
        <x:v>5</x:v>
      </x:c>
      <x:c r="G72" s="52" t="str">
        <x:v>Diploma</x:v>
      </x:c>
      <x:c r="H72" s="52" t="str">
        <x:v>On campus / in-person (may include blended components)</x:v>
      </x:c>
      <x:c r="I72" s="52" t="str">
        <x:v>Yes — provider publishes international/on-campus availability</x:v>
      </x:c>
      <x:c r="J72" s="52" t="str">
        <x:v>Madras Street Campus</x:v>
      </x:c>
      <x:c r="K72" s="52" t="str">
        <x:v>1 year full-time</x:v>
      </x:c>
      <x:c r="L72" s="52"/>
      <x:c r="M72" s="52" t="str">
        <x:v>01 February 2027; 19 July 2027</x:v>
      </x:c>
      <x:c r="N72" s="52" t="str">
        <x:v>$26,572 per year</x:v>
      </x:c>
      <x:c r="O72" s="52" t="str">
        <x:v>per year</x:v>
      </x:c>
      <x:c r="P72" s="52" t="str">
        <x:v>2026</x:v>
      </x:c>
      <x:c r="Q72" s="52" t="str">
        <x:v>Not published; 2026 fee shown only</x:v>
      </x:c>
      <x:c r="R72" s="52" t="str">
        <x:v>New Zealand Certificate in Cookery (Level 4) or equivalentIf you have undertaken examinations other than NCEA (e.g. International Baccalaureate, Cambridge Examination), Ara will assess your qualification for academic entry equivalency.</x:v>
      </x:c>
      <x:c r="S72"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2" s="52"/>
      <x:c r="U72" s="52" t="str">
        <x:v>Ara funding assistance page; no automatic international award confirmed unless stated on the programme page.</x:v>
      </x:c>
      <x:c r="V72" s="58" t="str">
        <x:v>https://www.ara.ac.nz/products/programme/nz2102-main-new-zealand-diploma-in-cookery-advanced-level-5-with-strand-in-cookery/</x:v>
      </x:c>
      <x:c r="W72" s="58" t="str">
        <x:v>https://search.ara.ac.nz/siteassets/documents---home/study/priority-learning-groups/international-students/international-brochures--study-guide/international-prospectus-2026.pdf</x:v>
      </x:c>
      <x:c r="X72" s="52" t="str">
        <x:v>2026-07-29</x:v>
      </x:c>
      <x:c r="Y72" s="52" t="str">
        <x:v>Double-checked: live programme page + official international source</x:v>
      </x:c>
      <x:c r="Z72" s="52" t="str">
        <x:v>Live page explicitly states the programme may be available for a Study Visa. 2027 fee not inferred from 2026.</x:v>
      </x:c>
      <x:c r="AA72" s="52"/>
      <x:c r="AB72" s="52" t="str">
        <x:v>Published by provider</x:v>
      </x:c>
      <x:c r="AC72" s="53" t="str">
        <x:v>01 February 2027; 19 July 2027</x:v>
      </x:c>
    </x:row>
    <x:row r="73" ht="48" customHeight="1">
      <x:c r="A73" s="45" t="str">
        <x:v>Ara Institute of Canterbury</x:v>
      </x:c>
      <x:c r="B73" s="46" t="str">
        <x:v>Ara</x:v>
      </x:c>
      <x:c r="C73" s="46" t="str">
        <x:v>Hospitality &amp; Tourism</x:v>
      </x:c>
      <x:c r="D73" s="46" t="str">
        <x:v>New Zealand Diploma in Cookery (Advanced) (Level 5) with a strand in Patisserie</x:v>
      </x:c>
      <x:c r="E73" s="46"/>
      <x:c r="F73" s="46" t="n">
        <x:v>5</x:v>
      </x:c>
      <x:c r="G73" s="46" t="str">
        <x:v>Diploma</x:v>
      </x:c>
      <x:c r="H73" s="46" t="str">
        <x:v>On campus / in-person (may include blended components)</x:v>
      </x:c>
      <x:c r="I73" s="46" t="str">
        <x:v>Yes — provider publishes international/on-campus availability</x:v>
      </x:c>
      <x:c r="J73" s="46" t="str">
        <x:v>Madras Street Campus</x:v>
      </x:c>
      <x:c r="K73" s="46" t="str">
        <x:v>1 year full-time</x:v>
      </x:c>
      <x:c r="L73" s="46"/>
      <x:c r="M73" s="46" t="str">
        <x:v>01 February 2027</x:v>
      </x:c>
      <x:c r="N73" s="46" t="str">
        <x:v>$26,572 per year</x:v>
      </x:c>
      <x:c r="O73" s="46" t="str">
        <x:v>per year</x:v>
      </x:c>
      <x:c r="P73" s="46" t="str">
        <x:v>2026</x:v>
      </x:c>
      <x:c r="Q73" s="46" t="str">
        <x:v>Not published; 2026 fee shown only</x:v>
      </x:c>
      <x:c r="R73" s="46" t="str">
        <x:v>New Zealand Certificate in Cookery (Level 4) or equivalentOR New Zealand Certificate in Baking (Generalist) Level 4 or equivalent</x:v>
      </x:c>
      <x:c r="S73"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3" s="46"/>
      <x:c r="U73" s="46" t="str">
        <x:v>Ara funding assistance page; no automatic international award confirmed unless stated on the programme page.</x:v>
      </x:c>
      <x:c r="V73" s="59" t="str">
        <x:v>https://www.ara.ac.nz/products/programme/nz2102-work-new-zealand-diploma-in-cookery-advanced-level-5-with-strand-in-patisserie/</x:v>
      </x:c>
      <x:c r="W73" s="59" t="str">
        <x:v>https://search.ara.ac.nz/siteassets/documents---home/study/priority-learning-groups/international-students/international-brochures--study-guide/international-prospectus-2026.pdf</x:v>
      </x:c>
      <x:c r="X73" s="46" t="str">
        <x:v>2026-07-29</x:v>
      </x:c>
      <x:c r="Y73" s="46" t="str">
        <x:v>Double-checked: live programme page + official international source</x:v>
      </x:c>
      <x:c r="Z73" s="46" t="str">
        <x:v>Live page explicitly states the programme may be available for a Study Visa. 2027 fee not inferred from 2026.</x:v>
      </x:c>
      <x:c r="AA73" s="46"/>
      <x:c r="AB73" s="46" t="str">
        <x:v>Published by provider</x:v>
      </x:c>
      <x:c r="AC73" s="47" t="str">
        <x:v>01 February 2027</x:v>
      </x:c>
    </x:row>
    <x:row r="74" ht="48" customHeight="1">
      <x:c r="A74" s="51" t="str">
        <x:v>Ara Institute of Canterbury</x:v>
      </x:c>
      <x:c r="B74" s="52" t="str">
        <x:v>Ara</x:v>
      </x:c>
      <x:c r="C74" s="52" t="str">
        <x:v>Other</x:v>
      </x:c>
      <x:c r="D74" s="52" t="str">
        <x:v>Postgraduate Certificate in Professional Supervision</x:v>
      </x:c>
      <x:c r="E74" s="52"/>
      <x:c r="F74" s="52" t="n">
        <x:v>8</x:v>
      </x:c>
      <x:c r="G74" s="52" t="str">
        <x:v>Postgraduate Certificate</x:v>
      </x:c>
      <x:c r="H74" s="52" t="str">
        <x:v>On campus / in-person (may include blended components)</x:v>
      </x:c>
      <x:c r="I74" s="52" t="str">
        <x:v>Yes — provider publishes international/on-campus availability</x:v>
      </x:c>
      <x:c r="J74" s="52" t="str">
        <x:v>Madras Street Campus</x:v>
      </x:c>
      <x:c r="K74" s="52" t="str">
        <x:v>1 year part-time</x:v>
      </x:c>
      <x:c r="L74" s="52"/>
      <x:c r="M74" s="52" t="str">
        <x:v>08 February 2027</x:v>
      </x:c>
      <x:c r="N74" s="52" t="str">
        <x:v>$29,229 per year</x:v>
      </x:c>
      <x:c r="O74" s="52" t="str">
        <x:v>See 2026 prospectus; programme dependent</x:v>
      </x:c>
      <x:c r="P74" s="52" t="str">
        <x:v>2026</x:v>
      </x:c>
      <x:c r="Q74" s="52" t="str">
        <x:v>Not published; 2026 fee shown only</x:v>
      </x:c>
      <x:c r="R74" s="52" t="str">
        <x:v>A Bachelor's Degree or Graduate Certificate or Graduate Diploma. Additional Requirements In addition you need to:Practice in the role of professional supervisor and/or have access to appropriate hoamahi (colleagues) with whom to arrange this practice experienceHave two years’ work experience relevant to professional supervision</x:v>
      </x:c>
      <x:c r="S74"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4" s="52"/>
      <x:c r="U74" s="52" t="str">
        <x:v>Ara funding assistance page; no automatic international award confirmed unless stated on the programme page.</x:v>
      </x:c>
      <x:c r="V74" s="58" t="str">
        <x:v>https://www.ara.ac.nz/products/programme/ch4066-pros-postgraduate-certificate-in-professional-supervision/</x:v>
      </x:c>
      <x:c r="W74" s="58" t="str">
        <x:v>https://search.ara.ac.nz/siteassets/documents---home/study/priority-learning-groups/international-students/international-brochures--study-guide/international-prospectus-2026.pdf</x:v>
      </x:c>
      <x:c r="X74" s="52" t="str">
        <x:v>2026-07-29</x:v>
      </x:c>
      <x:c r="Y74" s="52" t="str">
        <x:v>Double-checked: live programme page + official international source</x:v>
      </x:c>
      <x:c r="Z74" s="52" t="str">
        <x:v>Live page explicitly states the programme may be available for a Study Visa. 2027 fee not inferred from 2026.</x:v>
      </x:c>
      <x:c r="AA74" s="52"/>
      <x:c r="AB74" s="52" t="str">
        <x:v>Published by provider</x:v>
      </x:c>
      <x:c r="AC74" s="53" t="str">
        <x:v>08 February 2027</x:v>
      </x:c>
    </x:row>
    <x:row r="75" ht="48" customHeight="1">
      <x:c r="A75" s="45" t="str">
        <x:v>Ara Institute of Canterbury</x:v>
      </x:c>
      <x:c r="B75" s="46" t="str">
        <x:v>Ara</x:v>
      </x:c>
      <x:c r="C75" s="46" t="str">
        <x:v>Other</x:v>
      </x:c>
      <x:c r="D75" s="46" t="str">
        <x:v>Bachelor of Information and Communications Technologies (General)</x:v>
      </x:c>
      <x:c r="E75" s="46"/>
      <x:c r="F75" s="46" t="n">
        <x:v>7</x:v>
      </x:c>
      <x:c r="G75" s="46" t="str">
        <x:v>Bachelor's Degree</x:v>
      </x:c>
      <x:c r="H75" s="46" t="str">
        <x:v>On campus / in-person (may include blended components)</x:v>
      </x:c>
      <x:c r="I75" s="46" t="str">
        <x:v>Yes — provider publishes international/on-campus availability</x:v>
      </x:c>
      <x:c r="J75" s="46" t="str">
        <x:v>Madras Street Campus</x:v>
      </x:c>
      <x:c r="K75" s="46" t="str">
        <x:v>3 Years (part-time options available)</x:v>
      </x:c>
      <x:c r="L75" s="46"/>
      <x:c r="M75" s="46" t="str">
        <x:v>15 February 2027</x:v>
      </x:c>
      <x:c r="N75" s="46" t="str">
        <x:v>$26,572 per year</x:v>
      </x:c>
      <x:c r="O75" s="46" t="str">
        <x:v>per year</x:v>
      </x:c>
      <x:c r="P75" s="46" t="str">
        <x:v>2026</x:v>
      </x:c>
      <x:c r="Q75" s="46" t="str">
        <x:v>Not published; 2026 fee shown only</x:v>
      </x:c>
      <x:c r="R75" s="46" t="str">
        <x:v>University Entrance as specified by the New Zealand Qualifications Authority (NZQA)OR New Zealand Certificate in Study and Employment Pathways (Level 4) Construction and ICT PathwayOR a qualification on the New Zealand Qualifications Framework at Level 4 or above in a related discipline.If you have undertaken examinations other than NCEA (e.g. International Baccalaureate, Cambridge Examination), Ara will assess your qualification for academic entry equivalency.</x:v>
      </x:c>
      <x:c r="S75"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assessment.What if I have achieved New Zealand University Entrance?If you have achieved New Zealand University Entrance requirements, you are not required to provide evidence of English language skills. Selection Criteria Applican</x:v>
      </x:c>
      <x:c r="T75" s="46"/>
      <x:c r="U75" s="46" t="str">
        <x:v>Ara funding assistance page; no automatic international award confirmed unless stated on the programme page.</x:v>
      </x:c>
      <x:c r="V75" s="59" t="str">
        <x:v>https://www.ara.ac.nz/products/programme/ch3866-genr-bachelor-of-information-and-communication-technologies/</x:v>
      </x:c>
      <x:c r="W75" s="59" t="str">
        <x:v>https://search.ara.ac.nz/siteassets/documents---home/study/priority-learning-groups/international-students/international-brochures--study-guide/international-prospectus-2026.pdf</x:v>
      </x:c>
      <x:c r="X75" s="46" t="str">
        <x:v>2026-07-29</x:v>
      </x:c>
      <x:c r="Y75" s="46" t="str">
        <x:v>Double-checked: live programme page + official international source</x:v>
      </x:c>
      <x:c r="Z75" s="46" t="str">
        <x:v>Live page explicitly states the programme may be available for a Study Visa. 2027 fee not inferred from 2026.</x:v>
      </x:c>
      <x:c r="AA75" s="46"/>
      <x:c r="AB75" s="46" t="str">
        <x:v>Published by provider</x:v>
      </x:c>
      <x:c r="AC75" s="47" t="str">
        <x:v>15 February 2027</x:v>
      </x:c>
    </x:row>
    <x:row r="76" ht="48" customHeight="1">
      <x:c r="A76" s="51" t="str">
        <x:v>Ara Institute of Canterbury</x:v>
      </x:c>
      <x:c r="B76" s="52" t="str">
        <x:v>Ara</x:v>
      </x:c>
      <x:c r="C76" s="52" t="str">
        <x:v>Other</x:v>
      </x:c>
      <x:c r="D76" s="52" t="str">
        <x:v>New Zealand Certificate in Creativity (Level 4)</x:v>
      </x:c>
      <x:c r="E76" s="52"/>
      <x:c r="F76" s="52" t="n">
        <x:v>4</x:v>
      </x:c>
      <x:c r="G76" s="52" t="str">
        <x:v>Certificate</x:v>
      </x:c>
      <x:c r="H76" s="52" t="str">
        <x:v>On campus / in-person (may include blended components)</x:v>
      </x:c>
      <x:c r="I76" s="52" t="str">
        <x:v>Yes — provider publishes international/on-campus availability</x:v>
      </x:c>
      <x:c r="J76" s="52" t="str">
        <x:v>Madras Street Campus</x:v>
      </x:c>
      <x:c r="K76" s="52" t="str">
        <x:v>19 Weeks</x:v>
      </x:c>
      <x:c r="L76" s="52"/>
      <x:c r="M76" s="52" t="str">
        <x:v>15 February 2027; 19 July 2027</x:v>
      </x:c>
      <x:c r="N76" s="52" t="str">
        <x:v>$13,286 per 60 credits or $26,572 per 120 credits (programme dependent)</x:v>
      </x:c>
      <x:c r="O76" s="52" t="str">
        <x:v>See 2026 prospectus; programme dependent</x:v>
      </x:c>
      <x:c r="P76" s="52" t="str">
        <x:v>2026</x:v>
      </x:c>
      <x:c r="Q76" s="52" t="str">
        <x:v>Not published; 2026 fee shown only</x:v>
      </x:c>
      <x:c r="R76" s="52" t="str">
        <x:v>10 NCEA Level 1 literacy creditsOR New Zealand Certificate in Digital Media Design (Level 4)If you have undertaken examinations other than NCEA (e.g. International Baccalaureate, Cambridge Examination), Ara will assess your qualification for academic entry equivalency.</x:v>
      </x:c>
      <x:c r="S76"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6" s="52"/>
      <x:c r="U76" s="52" t="str">
        <x:v>Ara funding assistance page; no automatic international award confirmed unless stated on the programme page.</x:v>
      </x:c>
      <x:c r="V76" s="58" t="str">
        <x:v>https://www.ara.ac.nz/products/programme/nz2869-main-new-zealand-certificate-in-creativity-level-4/</x:v>
      </x:c>
      <x:c r="W76" s="58" t="str">
        <x:v>https://search.ara.ac.nz/siteassets/documents---home/study/priority-learning-groups/international-students/international-brochures--study-guide/international-prospectus-2026.pdf</x:v>
      </x:c>
      <x:c r="X76" s="52" t="str">
        <x:v>2026-07-29</x:v>
      </x:c>
      <x:c r="Y76" s="52" t="str">
        <x:v>Double-checked: live programme page + official international source</x:v>
      </x:c>
      <x:c r="Z76" s="52" t="str">
        <x:v>Live page explicitly states the programme may be available for a Study Visa. 2027 fee not inferred from 2026.</x:v>
      </x:c>
      <x:c r="AA76" s="52"/>
      <x:c r="AB76" s="52" t="str">
        <x:v>Published by provider</x:v>
      </x:c>
      <x:c r="AC76" s="53" t="str">
        <x:v>15 February 2027; 19 July 2027</x:v>
      </x:c>
    </x:row>
    <x:row r="77" ht="48" customHeight="1">
      <x:c r="A77" s="45" t="str">
        <x:v>Ara Institute of Canterbury</x:v>
      </x:c>
      <x:c r="B77" s="46" t="str">
        <x:v>Ara</x:v>
      </x:c>
      <x:c r="C77" s="46" t="str">
        <x:v>Science &amp; Environment</x:v>
      </x:c>
      <x:c r="D77" s="46" t="str">
        <x:v>Bachelor of Applied Science (Human Nutrition)</x:v>
      </x:c>
      <x:c r="E77" s="46"/>
      <x:c r="F77" s="46" t="n">
        <x:v>7</x:v>
      </x:c>
      <x:c r="G77" s="46" t="str">
        <x:v>Bachelor's Degree</x:v>
      </x:c>
      <x:c r="H77" s="46" t="str">
        <x:v>On campus / in-person (may include blended components)</x:v>
      </x:c>
      <x:c r="I77" s="46" t="str">
        <x:v>Yes — provider publishes international/on-campus availability</x:v>
      </x:c>
      <x:c r="J77" s="46" t="str">
        <x:v>Madras Street Campus</x:v>
      </x:c>
      <x:c r="K77" s="46" t="str">
        <x:v>3 Years (part-time options available)</x:v>
      </x:c>
      <x:c r="L77" s="46"/>
      <x:c r="M77" s="46" t="str">
        <x:v>15 February 2027</x:v>
      </x:c>
      <x:c r="N77" s="46" t="str">
        <x:v>$26,572 per year</x:v>
      </x:c>
      <x:c r="O77" s="46" t="str">
        <x:v>per year</x:v>
      </x:c>
      <x:c r="P77" s="46" t="str">
        <x:v>2026</x:v>
      </x:c>
      <x:c r="Q77" s="46" t="str">
        <x:v>Not published; 2026 fee shown only</x:v>
      </x:c>
      <x:c r="R77" s="46" t="str">
        <x:v>University Entrance as defined by New Zealand Qualifications Authority (NZQA), which must include:14 credits at Level 3 in each of:Biology or Physical Education or Health Educationanother subject, preferably Physics, Statistics, Mathematics, Chemistry, Geography or Psychology.(Human Nutrition specialisation applicants must have a minimum of 14 credits in Chemistry at Level 2 or alternative as approved by the specialisation coordinator.)one other subject from the list of approved subjects*OR successful completion of NZ3563 New Zealand Certificate in Exercise (Level 4) or New Zealand Certificate in Study and Employment Pathways (Level 4) Pre Health Pathway or equivalent* NZQA approved subjects: see https://www2.nzqa.govt.nz/ncea/understanding-secondary-quals/university-entrance/If you have u</x:v>
      </x:c>
      <x:c r="S77"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7" s="46"/>
      <x:c r="U77" s="46" t="str">
        <x:v>Ara funding assistance page; no automatic international award confirmed unless stated on the programme page.</x:v>
      </x:c>
      <x:c r="V77" s="59" t="str">
        <x:v>https://www.ara.ac.nz/products/programme/ch3981-hunu-bachelor-of-applied-science-human-nutrition/</x:v>
      </x:c>
      <x:c r="W77" s="59" t="str">
        <x:v>https://search.ara.ac.nz/siteassets/documents---home/study/priority-learning-groups/international-students/international-brochures--study-guide/international-prospectus-2026.pdf</x:v>
      </x:c>
      <x:c r="X77" s="46" t="str">
        <x:v>2026-07-29</x:v>
      </x:c>
      <x:c r="Y77" s="46" t="str">
        <x:v>Double-checked: live programme page + official international source</x:v>
      </x:c>
      <x:c r="Z77" s="46" t="str">
        <x:v>Live page explicitly states the programme may be available for a Study Visa. 2027 fee not inferred from 2026.</x:v>
      </x:c>
      <x:c r="AA77" s="46"/>
      <x:c r="AB77" s="46" t="str">
        <x:v>Published by provider</x:v>
      </x:c>
      <x:c r="AC77" s="47" t="str">
        <x:v>15 February 2027</x:v>
      </x:c>
    </x:row>
    <x:row r="78" ht="48" customHeight="1">
      <x:c r="A78" s="51" t="str">
        <x:v>Ara Institute of Canterbury</x:v>
      </x:c>
      <x:c r="B78" s="52" t="str">
        <x:v>Ara</x:v>
      </x:c>
      <x:c r="C78" s="52" t="str">
        <x:v>Science &amp; Environment</x:v>
      </x:c>
      <x:c r="D78" s="52" t="str">
        <x:v>Graduate Diploma in Laboratory Technology</x:v>
      </x:c>
      <x:c r="E78" s="52"/>
      <x:c r="F78" s="52" t="n">
        <x:v>7</x:v>
      </x:c>
      <x:c r="G78" s="52" t="str">
        <x:v>Graduate Diploma</x:v>
      </x:c>
      <x:c r="H78" s="52" t="str">
        <x:v>On campus / in-person (may include blended components)</x:v>
      </x:c>
      <x:c r="I78" s="52" t="str">
        <x:v>Yes — provider publishes international/on-campus availability</x:v>
      </x:c>
      <x:c r="J78" s="52" t="str">
        <x:v>Madras Street Campus</x:v>
      </x:c>
      <x:c r="K78" s="52" t="str">
        <x:v>1 Year (part-time options available)</x:v>
      </x:c>
      <x:c r="L78" s="52"/>
      <x:c r="M78" s="52" t="str">
        <x:v>15 February 2027</x:v>
      </x:c>
      <x:c r="N78" s="52" t="str">
        <x:v>$26,572 per year (engineering/health $29,761; programme page/prospectus controls)</x:v>
      </x:c>
      <x:c r="O78" s="52" t="str">
        <x:v>See 2026 prospectus; programme dependent</x:v>
      </x:c>
      <x:c r="P78" s="52" t="str">
        <x:v>2026</x:v>
      </x:c>
      <x:c r="Q78" s="52" t="str">
        <x:v>Not published; 2026 fee shown only</x:v>
      </x:c>
      <x:c r="R78" s="52" t="str">
        <x:v>A Bachelor’s degree in science or recent relevant experience</x:v>
      </x:c>
      <x:c r="S78"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8" s="52"/>
      <x:c r="U78" s="52" t="str">
        <x:v>Ara funding assistance page; no automatic international award confirmed unless stated on the programme page.</x:v>
      </x:c>
      <x:c r="V78" s="58" t="str">
        <x:v>https://www.ara.ac.nz/products/programme/ch3700-gdlt-graduate-diploma-in-laboratory-technology/</x:v>
      </x:c>
      <x:c r="W78" s="58" t="str">
        <x:v>https://search.ara.ac.nz/siteassets/documents---home/study/priority-learning-groups/international-students/international-brochures--study-guide/international-prospectus-2026.pdf</x:v>
      </x:c>
      <x:c r="X78" s="52" t="str">
        <x:v>2026-07-29</x:v>
      </x:c>
      <x:c r="Y78" s="52" t="str">
        <x:v>Double-checked: live programme page + official international source</x:v>
      </x:c>
      <x:c r="Z78" s="52" t="str">
        <x:v>Live page explicitly states the programme may be available for a Study Visa. 2027 fee not inferred from 2026.</x:v>
      </x:c>
      <x:c r="AA78" s="52"/>
      <x:c r="AB78" s="52" t="str">
        <x:v>Published by provider</x:v>
      </x:c>
      <x:c r="AC78" s="53" t="str">
        <x:v>15 February 2027</x:v>
      </x:c>
    </x:row>
    <x:row r="79" ht="48" customHeight="1">
      <x:c r="A79" s="45" t="str">
        <x:v>Ara Institute of Canterbury</x:v>
      </x:c>
      <x:c r="B79" s="46" t="str">
        <x:v>Ara</x:v>
      </x:c>
      <x:c r="C79" s="46" t="str">
        <x:v>Science &amp; Environment</x:v>
      </x:c>
      <x:c r="D79" s="46" t="str">
        <x:v>Graduate Diploma in Laboratory Technology</x:v>
      </x:c>
      <x:c r="E79" s="46"/>
      <x:c r="F79" s="46" t="n">
        <x:v>7</x:v>
      </x:c>
      <x:c r="G79" s="46" t="str">
        <x:v>Graduate Diploma</x:v>
      </x:c>
      <x:c r="H79" s="46" t="str">
        <x:v>On campus / in-person (may include blended components)</x:v>
      </x:c>
      <x:c r="I79" s="46" t="str">
        <x:v>Yes — provider publishes international/on-campus availability</x:v>
      </x:c>
      <x:c r="J79" s="46" t="str">
        <x:v>Madras Street Campus</x:v>
      </x:c>
      <x:c r="K79" s="46" t="str">
        <x:v>1 Year (part-time options available)</x:v>
      </x:c>
      <x:c r="L79" s="46"/>
      <x:c r="M79" s="46" t="str">
        <x:v>15 February 2027</x:v>
      </x:c>
      <x:c r="N79" s="46" t="str">
        <x:v>$26,572 per year (engineering/health $29,761; programme page/prospectus controls)</x:v>
      </x:c>
      <x:c r="O79" s="46" t="str">
        <x:v>See 2026 prospectus; programme dependent</x:v>
      </x:c>
      <x:c r="P79" s="46" t="str">
        <x:v>2026</x:v>
      </x:c>
      <x:c r="Q79" s="46" t="str">
        <x:v>Not published; 2026 fee shown only</x:v>
      </x:c>
      <x:c r="R79" s="46" t="str">
        <x:v>A Bachelor’s degree in science or recent relevant experience</x:v>
      </x:c>
      <x:c r="S79"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79" s="46"/>
      <x:c r="U79" s="46" t="str">
        <x:v>Ara funding assistance page; no automatic international award confirmed unless stated on the programme page.</x:v>
      </x:c>
      <x:c r="V79" s="59" t="str">
        <x:v>https://www.ara.ac.nz/products/programme/</x:v>
      </x:c>
      <x:c r="W79" s="59" t="str">
        <x:v>https://search.ara.ac.nz/siteassets/documents---home/study/priority-learning-groups/international-students/international-brochures--study-guide/international-prospectus-2026.pdf</x:v>
      </x:c>
      <x:c r="X79" s="46" t="str">
        <x:v>2026-07-29</x:v>
      </x:c>
      <x:c r="Y79" s="46" t="str">
        <x:v>Double-checked: live programme page + official international source</x:v>
      </x:c>
      <x:c r="Z79" s="46" t="str">
        <x:v>Live page explicitly states the programme may be available for a Study Visa. 2027 fee not inferred from 2026.</x:v>
      </x:c>
      <x:c r="AA79" s="46"/>
      <x:c r="AB79" s="46" t="str">
        <x:v>Published by provider</x:v>
      </x:c>
      <x:c r="AC79" s="47" t="str">
        <x:v>15 February 2027</x:v>
      </x:c>
    </x:row>
    <x:row r="80" ht="48" customHeight="1">
      <x:c r="A80" s="51" t="str">
        <x:v>Ara Institute of Canterbury</x:v>
      </x:c>
      <x:c r="B80" s="52" t="str">
        <x:v>Ara</x:v>
      </x:c>
      <x:c r="C80" s="52" t="str">
        <x:v>Science &amp; Environment</x:v>
      </x:c>
      <x:c r="D80" s="52" t="str">
        <x:v>New Zealand Diploma in Applied Science (Level 5)</x:v>
      </x:c>
      <x:c r="E80" s="52"/>
      <x:c r="F80" s="52" t="n">
        <x:v>5</x:v>
      </x:c>
      <x:c r="G80" s="52" t="str">
        <x:v>Diploma</x:v>
      </x:c>
      <x:c r="H80" s="52" t="str">
        <x:v>On campus / in-person (may include blended components)</x:v>
      </x:c>
      <x:c r="I80" s="52" t="str">
        <x:v>Yes — provider publishes international/on-campus availability</x:v>
      </x:c>
      <x:c r="J80" s="52" t="str">
        <x:v>Madras Street Campus</x:v>
      </x:c>
      <x:c r="K80" s="52" t="str">
        <x:v>1 Year</x:v>
      </x:c>
      <x:c r="L80" s="52"/>
      <x:c r="M80" s="52" t="str">
        <x:v>15 February 2027</x:v>
      </x:c>
      <x:c r="N80" s="52" t="str">
        <x:v>$26,572 per year</x:v>
      </x:c>
      <x:c r="O80" s="52" t="str">
        <x:v>See 2026 prospectus; programme dependent</x:v>
      </x:c>
      <x:c r="P80" s="52" t="str">
        <x:v>2026</x:v>
      </x:c>
      <x:c r="Q80" s="52" t="str">
        <x:v>Not published; 2026 fee shown only</x:v>
      </x:c>
      <x:c r="R80" s="52" t="str">
        <x:v>NCEA Level 2, which must include 14 credits in scienceOR Level 4 qualification in science or relevant equivalentIf you have undertaken examinations other than NCEA (e.g. International Baccalaureate, Cambridge Examination), Ara will assess your qualification for academic entry equivalency.</x:v>
      </x:c>
      <x:c r="S80" s="52"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80" s="52"/>
      <x:c r="U80" s="52" t="str">
        <x:v>Ara funding assistance page; no automatic international award confirmed unless stated on the programme page.</x:v>
      </x:c>
      <x:c r="V80" s="58" t="str">
        <x:v>https://www.ara.ac.nz/products/programme/nz2552-stp-new-zealand-diploma-in-applied-science-level-5/</x:v>
      </x:c>
      <x:c r="W80" s="58" t="str">
        <x:v>https://search.ara.ac.nz/siteassets/documents---home/study/priority-learning-groups/international-students/international-brochures--study-guide/international-prospectus-2026.pdf</x:v>
      </x:c>
      <x:c r="X80" s="52" t="str">
        <x:v>2026-07-29</x:v>
      </x:c>
      <x:c r="Y80" s="52" t="str">
        <x:v>Double-checked: live programme page + official international source</x:v>
      </x:c>
      <x:c r="Z80" s="52" t="str">
        <x:v>Live page explicitly states the programme may be available for a Study Visa. 2027 fee not inferred from 2026.</x:v>
      </x:c>
      <x:c r="AA80" s="52"/>
      <x:c r="AB80" s="52" t="str">
        <x:v>Published by provider</x:v>
      </x:c>
      <x:c r="AC80" s="53" t="str">
        <x:v>15 February 2027</x:v>
      </x:c>
    </x:row>
    <x:row r="81" ht="48" customHeight="1">
      <x:c r="A81" s="45" t="str">
        <x:v>Ara Institute of Canterbury</x:v>
      </x:c>
      <x:c r="B81" s="46" t="str">
        <x:v>Ara</x:v>
      </x:c>
      <x:c r="C81" s="46" t="str">
        <x:v>Sport &amp; Outdoor</x:v>
      </x:c>
      <x:c r="D81" s="46" t="str">
        <x:v>New Zealand Certificate in Exercise (Level 4)</x:v>
      </x:c>
      <x:c r="E81" s="46"/>
      <x:c r="F81" s="46" t="n">
        <x:v>4</x:v>
      </x:c>
      <x:c r="G81" s="46" t="str">
        <x:v>Certificate</x:v>
      </x:c>
      <x:c r="H81" s="46" t="str">
        <x:v>On campus / in-person (may include blended components)</x:v>
      </x:c>
      <x:c r="I81" s="46" t="str">
        <x:v>Yes — provider publishes international/on-campus availability</x:v>
      </x:c>
      <x:c r="J81" s="46" t="str">
        <x:v>Madras Street Campus</x:v>
      </x:c>
      <x:c r="K81" s="46" t="str">
        <x:v>19 Weeks (part-time options available)</x:v>
      </x:c>
      <x:c r="L81" s="46"/>
      <x:c r="M81" s="46" t="str">
        <x:v>15 February 2027; 19 July 2027</x:v>
      </x:c>
      <x:c r="N81" s="46" t="str">
        <x:v>$13,286 per 60 credits or $26,572 per 120 credits (programme dependent)</x:v>
      </x:c>
      <x:c r="O81" s="46" t="str">
        <x:v>See 2026 prospectus; programme dependent</x:v>
      </x:c>
      <x:c r="P81" s="46" t="str">
        <x:v>2026</x:v>
      </x:c>
      <x:c r="Q81" s="46" t="str">
        <x:v>Not published; 2026 fee shown only</x:v>
      </x:c>
      <x:c r="R81" s="46" t="str">
        <x:v>40 credits NCEA Level 1, including 10 literacy credits and 10 numeracy creditsOR New Zealand Certificate in Sport, Recreation and Exercise (Multi-Sector) (Level 3) OR a relevant qualification at NZQF Level2; OR a recognised equivalentIf you have undertaken examinations other than NCEA (e.g. International Baccalaureate, Cambridge Examination), Ara will assess your qualification for academic entry equivalency.</x:v>
      </x:c>
      <x:c r="S81" s="46" t="str">
        <x:v>What if English is not my first Language?If English is not your first language, we want to make sure that you will be successful in your chosen programme of study.Please provide a result from a test or qualification on the acceptable alternativesEnglish Proficiency Outcomes Chart.If you are a New Zealand Citizen or Permanent Resident, complete an Admission and Enrolment form and Ara will contact you regarding a free assessment.If you are not a New Zealand Citizen or Permanent resident, please book a PTE Academic test through the Ara Examination Centre or complete an NZQA-approved English language test in your home country.IELTS scores used mu</x:v>
      </x:c>
      <x:c r="T81" s="46"/>
      <x:c r="U81" s="46" t="str">
        <x:v>Ara funding assistance page; no automatic international award confirmed unless stated on the programme page.</x:v>
      </x:c>
      <x:c r="V81" s="59" t="str">
        <x:v>https://www.ara.ac.nz/products/programme/nz3563-stru-new-zealand-certificate-in-exercise-level-4/</x:v>
      </x:c>
      <x:c r="W81" s="59" t="str">
        <x:v>https://search.ara.ac.nz/siteassets/documents---home/study/priority-learning-groups/international-students/international-brochures--study-guide/international-prospectus-2026.pdf</x:v>
      </x:c>
      <x:c r="X81" s="46" t="str">
        <x:v>2026-07-29</x:v>
      </x:c>
      <x:c r="Y81" s="46" t="str">
        <x:v>Double-checked: live programme page + official international source</x:v>
      </x:c>
      <x:c r="Z81" s="46" t="str">
        <x:v>Live page explicitly states the programme may be available for a Study Visa. 2027 fee not inferred from 2026.</x:v>
      </x:c>
      <x:c r="AA81" s="46"/>
      <x:c r="AB81" s="46" t="str">
        <x:v>Published by provider</x:v>
      </x:c>
      <x:c r="AC81" s="47" t="str">
        <x:v>15 February 2027; 19 July 2027</x:v>
      </x:c>
    </x:row>
    <x:row r="82" ht="48" customHeight="1">
      <x:c r="A82" s="51" t="str">
        <x:v>Eastern Institute of Technology</x:v>
      </x:c>
      <x:c r="B82" s="52" t="str">
        <x:v>EIT</x:v>
      </x:c>
      <x:c r="C82" s="52" t="str">
        <x:v>Business &amp; Management</x:v>
      </x:c>
      <x:c r="D82" s="52" t="str">
        <x:v>Graduate Diploma in Business</x:v>
      </x:c>
      <x:c r="E82" s="52"/>
      <x:c r="F82" s="52" t="n">
        <x:v>7</x:v>
      </x:c>
      <x:c r="G82" s="52" t="str">
        <x:v>Graduate Diploma</x:v>
      </x:c>
      <x:c r="H82" s="52" t="str">
        <x:v>On campus / in-person (may include blended components)</x:v>
      </x:c>
      <x:c r="I82" s="52" t="str">
        <x:v>Yes — provider publishes international/on-campus availability</x:v>
      </x:c>
      <x:c r="J82" s="52" t="str">
        <x:v>Napier</x:v>
      </x:c>
      <x:c r="K82" s="52" t="str">
        <x:v>1 year</x:v>
      </x:c>
      <x:c r="L82" s="52"/>
      <x:c r="M82" s="52" t="str">
        <x:v>February 2027; July 2027</x:v>
      </x:c>
      <x:c r="N82" s="52" t="str">
        <x:v>Standard $26,000; 2026 scholarship net $24,500</x:v>
      </x:c>
      <x:c r="O82" s="52" t="str">
        <x:v>Per year for undergraduate; per programme for postgraduate</x:v>
      </x:c>
      <x:c r="P82" s="52" t="str">
        <x:v>2026</x:v>
      </x:c>
      <x:c r="Q82" s="52" t="str">
        <x:v>Not published; 2026 fee shown only</x:v>
      </x:c>
      <x:c r="R82" s="52"/>
      <x:c r="S82" s="52" t="str">
        <x:v>EIT Agent Questionnaire - Chinese Agent Reference Check New Agent Questionnaire ELTO Homestay Questionnaire Graduate Diploma in Business Endorsements 2017</x:v>
      </x:c>
      <x:c r="T82" s="52"/>
      <x:c r="U82" s="52" t="str">
        <x:v>2026 EIT scholarship/net fee: $24,500</x:v>
      </x:c>
      <x:c r="V82" s="58" t="str">
        <x:v>https://www.eit.ac.nz/programmes/graduate-diploma-in-business/</x:v>
      </x:c>
      <x:c r="W82" s="58" t="str">
        <x:v>https://www.eit.ac.nz/wp-content/uploads/programme-app-packs/int%20Programme%20Matrix.pdf</x:v>
      </x:c>
      <x:c r="X82" s="52" t="str">
        <x:v>2026-07-29</x:v>
      </x:c>
      <x:c r="Y82" s="52" t="str">
        <x:v>Double-checked: live programme page + official international source</x:v>
      </x:c>
      <x:c r="Z82" s="52" t="str">
        <x:v>Online-only occurrences excluded. 2027 months come from the live programme page under the site's 2027-enrolment banner; 2027 fees not published.</x:v>
      </x:c>
      <x:c r="AA82" s="52"/>
      <x:c r="AB82" s="52" t="str">
        <x:v>Published by provider</x:v>
      </x:c>
      <x:c r="AC82" s="53" t="str">
        <x:v>February 2027; July 2027</x:v>
      </x:c>
    </x:row>
    <x:row r="83" ht="48" customHeight="1">
      <x:c r="A83" s="45" t="str">
        <x:v>Eastern Institute of Technology</x:v>
      </x:c>
      <x:c r="B83" s="46" t="str">
        <x:v>EIT</x:v>
      </x:c>
      <x:c r="C83" s="46" t="str">
        <x:v>Business &amp; Management</x:v>
      </x:c>
      <x:c r="D83" s="46" t="str">
        <x:v>NZ Diploma in Environmental Management</x:v>
      </x:c>
      <x:c r="E83" s="46"/>
      <x:c r="F83" s="46" t="n">
        <x:v>5</x:v>
      </x:c>
      <x:c r="G83" s="46" t="str">
        <x:v>Diploma</x:v>
      </x:c>
      <x:c r="H83" s="46" t="str">
        <x:v>On campus / in-person (may include blended components)</x:v>
      </x:c>
      <x:c r="I83" s="46" t="str">
        <x:v>Yes — provider publishes international/on-campus availability</x:v>
      </x:c>
      <x:c r="J83" s="46" t="str">
        <x:v>Napier</x:v>
      </x:c>
      <x:c r="K83" s="46" t="str">
        <x:v>1 year</x:v>
      </x:c>
      <x:c r="L83" s="46"/>
      <x:c r="M83" s="46" t="str">
        <x:v>February 2027; July 2027</x:v>
      </x:c>
      <x:c r="N83" s="46" t="str">
        <x:v>Standard $26,000; 2026 scholarship net $24,500</x:v>
      </x:c>
      <x:c r="O83" s="46" t="str">
        <x:v>Per year for undergraduate; per programme for postgraduate</x:v>
      </x:c>
      <x:c r="P83" s="46" t="str">
        <x:v>2026</x:v>
      </x:c>
      <x:c r="Q83" s="46" t="str">
        <x:v>Not published; 2026 fee shown only</x:v>
      </x:c>
      <x:c r="R83" s="46"/>
      <x:c r="S83" s="46" t="str">
        <x:v>EIT Agent Questionnaire - Chinese Agent Reference Check New Agent Questionnaire ELTO Homestay Questionnaire Graduate Diploma in Business Endorsements 2017</x:v>
      </x:c>
      <x:c r="T83" s="46"/>
      <x:c r="U83" s="46" t="str">
        <x:v>2026 EIT scholarship/net fee: $24,500</x:v>
      </x:c>
      <x:c r="V83" s="59" t="str">
        <x:v>https://www.eit.ac.nz/programmes/nz-diploma-in-environmental-management-level-5/</x:v>
      </x:c>
      <x:c r="W83" s="59" t="str">
        <x:v>https://www.eit.ac.nz/wp-content/uploads/programme-app-packs/int%20Programme%20Matrix.pdf</x:v>
      </x:c>
      <x:c r="X83" s="46" t="str">
        <x:v>2026-07-29</x:v>
      </x:c>
      <x:c r="Y83" s="46" t="str">
        <x:v>Double-checked: live programme page + official international source</x:v>
      </x:c>
      <x:c r="Z83" s="46" t="str">
        <x:v>Online-only occurrences excluded. 2027 months come from the live programme page under the site's 2027-enrolment banner; 2027 fees not published.</x:v>
      </x:c>
      <x:c r="AA83" s="46"/>
      <x:c r="AB83" s="46" t="str">
        <x:v>Published by provider</x:v>
      </x:c>
      <x:c r="AC83" s="47" t="str">
        <x:v>February 2027; July 2027</x:v>
      </x:c>
    </x:row>
    <x:row r="84" ht="48" customHeight="1">
      <x:c r="A84" s="51" t="str">
        <x:v>Eastern Institute of Technology</x:v>
      </x:c>
      <x:c r="B84" s="52" t="str">
        <x:v>EIT</x:v>
      </x:c>
      <x:c r="C84" s="52" t="str">
        <x:v>Health &amp; Nursing</x:v>
      </x:c>
      <x:c r="D84" s="52" t="str">
        <x:v>Master of Health Science</x:v>
      </x:c>
      <x:c r="E84" s="52"/>
      <x:c r="F84" s="52" t="n">
        <x:v>9</x:v>
      </x:c>
      <x:c r="G84" s="52" t="str">
        <x:v>Master's Degree</x:v>
      </x:c>
      <x:c r="H84" s="52" t="str">
        <x:v>On campus / in-person (may include blended components)</x:v>
      </x:c>
      <x:c r="I84" s="52" t="str">
        <x:v>Yes — provider publishes international/on-campus availability</x:v>
      </x:c>
      <x:c r="J84" s="52" t="str">
        <x:v>Napier &amp; Auckland</x:v>
      </x:c>
      <x:c r="K84" s="52" t="str">
        <x:v>18 months full-time</x:v>
      </x:c>
      <x:c r="L84" s="52"/>
      <x:c r="M84" s="52" t="str">
        <x:v>February 2027; July 2027</x:v>
      </x:c>
      <x:c r="N84" s="52" t="str">
        <x:v>Standard $44,400; 2026 scholarship net $42,400</x:v>
      </x:c>
      <x:c r="O84" s="52" t="str">
        <x:v>Per year for undergraduate; per programme for postgraduate</x:v>
      </x:c>
      <x:c r="P84" s="52" t="str">
        <x:v>2026</x:v>
      </x:c>
      <x:c r="Q84" s="52" t="str">
        <x:v>Not published; 2026 fee shown only</x:v>
      </x:c>
      <x:c r="R84" s="52"/>
      <x:c r="S84" s="52" t="str">
        <x:v>EIT Agent Questionnaire - Chinese Agent Reference Check New Agent Questionnaire ELTO Homestay Questionnaire Graduate Diploma in Business Endorsements 2017</x:v>
      </x:c>
      <x:c r="T84" s="52"/>
      <x:c r="U84" s="52" t="str">
        <x:v>2026 EIT scholarship/net fee: $42,400</x:v>
      </x:c>
      <x:c r="V84" s="58" t="str">
        <x:v>https://www.eit.ac.nz/programmes/master-of-health-science/</x:v>
      </x:c>
      <x:c r="W84" s="58" t="str">
        <x:v>https://www.eit.ac.nz/wp-content/uploads/programme-app-packs/int%20Programme%20Matrix.pdf</x:v>
      </x:c>
      <x:c r="X84" s="52" t="str">
        <x:v>2026-07-29</x:v>
      </x:c>
      <x:c r="Y84" s="52" t="str">
        <x:v>Double-checked: live programme page + official international source</x:v>
      </x:c>
      <x:c r="Z84" s="52" t="str">
        <x:v>Online-only occurrences excluded. 2027 months come from the live programme page under the site's 2027-enrolment banner; 2027 fees not published.</x:v>
      </x:c>
      <x:c r="AA84" s="52"/>
      <x:c r="AB84" s="52" t="str">
        <x:v>Published by provider</x:v>
      </x:c>
      <x:c r="AC84" s="53" t="str">
        <x:v>February 2027; July 2027</x:v>
      </x:c>
    </x:row>
    <x:row r="85" ht="48" customHeight="1">
      <x:c r="A85" s="45" t="str">
        <x:v>Eastern Institute of Technology</x:v>
      </x:c>
      <x:c r="B85" s="46" t="str">
        <x:v>EIT</x:v>
      </x:c>
      <x:c r="C85" s="46" t="str">
        <x:v>Health &amp; Nursing</x:v>
      </x:c>
      <x:c r="D85" s="46" t="str">
        <x:v>Master of Nursing Science</x:v>
      </x:c>
      <x:c r="E85" s="46"/>
      <x:c r="F85" s="46" t="n">
        <x:v>9</x:v>
      </x:c>
      <x:c r="G85" s="46" t="str">
        <x:v>Master's Degree</x:v>
      </x:c>
      <x:c r="H85" s="46" t="str">
        <x:v>On campus / in-person (may include blended components)</x:v>
      </x:c>
      <x:c r="I85" s="46" t="str">
        <x:v>Yes — provider publishes international/on-campus availability</x:v>
      </x:c>
      <x:c r="J85" s="46" t="str">
        <x:v>Napier</x:v>
      </x:c>
      <x:c r="K85" s="46" t="str">
        <x:v>18 months full-time or up to 6 years part-time Programme Le</x:v>
      </x:c>
      <x:c r="L85" s="46"/>
      <x:c r="M85" s="46" t="str">
        <x:v>February 2027; July 2027</x:v>
      </x:c>
      <x:c r="N85" s="46" t="str">
        <x:v>Standard $44,400; 2026 scholarship net $42,400</x:v>
      </x:c>
      <x:c r="O85" s="46" t="str">
        <x:v>Per year for undergraduate; per programme for postgraduate</x:v>
      </x:c>
      <x:c r="P85" s="46" t="str">
        <x:v>2026</x:v>
      </x:c>
      <x:c r="Q85" s="46" t="str">
        <x:v>Not published; 2026 fee shown only</x:v>
      </x:c>
      <x:c r="R85" s="46"/>
      <x:c r="S85" s="46" t="str">
        <x:v>EIT Agent Questionnaire - Chinese Agent Reference Check New Agent Questionnaire ELTO Homestay Questionnaire Graduate Diploma in Business Endorsements 2017</x:v>
      </x:c>
      <x:c r="T85" s="46"/>
      <x:c r="U85" s="46" t="str">
        <x:v>2026 EIT scholarship/net fee: $42,400</x:v>
      </x:c>
      <x:c r="V85" s="59" t="str">
        <x:v>https://www.eit.ac.nz/programmes/master-of-nursing-science/</x:v>
      </x:c>
      <x:c r="W85" s="59" t="str">
        <x:v>https://www.eit.ac.nz/wp-content/uploads/programme-app-packs/int%20Programme%20Matrix.pdf</x:v>
      </x:c>
      <x:c r="X85" s="46" t="str">
        <x:v>2026-07-29</x:v>
      </x:c>
      <x:c r="Y85" s="46" t="str">
        <x:v>Double-checked: live programme page + official international source</x:v>
      </x:c>
      <x:c r="Z85" s="46" t="str">
        <x:v>Online-only occurrences excluded. 2027 months come from the live programme page under the site's 2027-enrolment banner; 2027 fees not published.</x:v>
      </x:c>
      <x:c r="AA85" s="46"/>
      <x:c r="AB85" s="46" t="str">
        <x:v>Published by provider</x:v>
      </x:c>
      <x:c r="AC85" s="47" t="str">
        <x:v>February 2027; July 2027</x:v>
      </x:c>
    </x:row>
    <x:row r="86" ht="48" customHeight="1">
      <x:c r="A86" s="51" t="str">
        <x:v>Eastern Institute of Technology</x:v>
      </x:c>
      <x:c r="B86" s="52" t="str">
        <x:v>EIT</x:v>
      </x:c>
      <x:c r="C86" s="52" t="str">
        <x:v>Health &amp; Nursing</x:v>
      </x:c>
      <x:c r="D86" s="52" t="str">
        <x:v>Postgraduate Diploma in Health Science</x:v>
      </x:c>
      <x:c r="E86" s="52"/>
      <x:c r="F86" s="52" t="n">
        <x:v>8</x:v>
      </x:c>
      <x:c r="G86" s="52" t="str">
        <x:v>Postgraduate Diploma</x:v>
      </x:c>
      <x:c r="H86" s="52" t="str">
        <x:v>On campus / in-person (may include blended components)</x:v>
      </x:c>
      <x:c r="I86" s="52" t="str">
        <x:v>Yes — provider publishes international/on-campus availability</x:v>
      </x:c>
      <x:c r="J86" s="52" t="str">
        <x:v>Napier &amp; Auckland</x:v>
      </x:c>
      <x:c r="K86" s="52" t="str">
        <x:v>2-4 years part-time</x:v>
      </x:c>
      <x:c r="L86" s="52"/>
      <x:c r="M86" s="52" t="str">
        <x:v>February 2027; July 2027</x:v>
      </x:c>
      <x:c r="N86" s="52" t="str">
        <x:v>Standard $29,600; 2026 scholarship net $28,600</x:v>
      </x:c>
      <x:c r="O86" s="52" t="str">
        <x:v>Per year for undergraduate; per programme for postgraduate</x:v>
      </x:c>
      <x:c r="P86" s="52" t="str">
        <x:v>2026</x:v>
      </x:c>
      <x:c r="Q86" s="52" t="str">
        <x:v>Not published; 2026 fee shown only</x:v>
      </x:c>
      <x:c r="R86" s="52"/>
      <x:c r="S86" s="52" t="str">
        <x:v>EIT Agent Questionnaire - Chinese Agent Reference Check New Agent Questionnaire ELTO Homestay Questionnaire Graduate Diploma in Business Endorsements 2017</x:v>
      </x:c>
      <x:c r="T86" s="52"/>
      <x:c r="U86" s="52" t="str">
        <x:v>2026 EIT scholarship/net fee: $28,600</x:v>
      </x:c>
      <x:c r="V86" s="58" t="str">
        <x:v>https://www.eit.ac.nz/programmes/postgraduate-diploma-in-health-science/</x:v>
      </x:c>
      <x:c r="W86" s="58" t="str">
        <x:v>https://www.eit.ac.nz/wp-content/uploads/programme-app-packs/int%20Programme%20Matrix.pdf</x:v>
      </x:c>
      <x:c r="X86" s="52" t="str">
        <x:v>2026-07-29</x:v>
      </x:c>
      <x:c r="Y86" s="52" t="str">
        <x:v>Double-checked: live programme page + official international source</x:v>
      </x:c>
      <x:c r="Z86" s="52" t="str">
        <x:v>Online-only occurrences excluded. 2027 months come from the live programme page under the site's 2027-enrolment banner; 2027 fees not published.</x:v>
      </x:c>
      <x:c r="AA86" s="52"/>
      <x:c r="AB86" s="52" t="str">
        <x:v>Published by provider</x:v>
      </x:c>
      <x:c r="AC86" s="53" t="str">
        <x:v>February 2027; July 2027</x:v>
      </x:c>
    </x:row>
    <x:row r="87" ht="48" customHeight="1">
      <x:c r="A87" s="45" t="str">
        <x:v>Eastern Institute of Technology</x:v>
      </x:c>
      <x:c r="B87" s="46" t="str">
        <x:v>EIT</x:v>
      </x:c>
      <x:c r="C87" s="46" t="str">
        <x:v>Science &amp; Environment</x:v>
      </x:c>
      <x:c r="D87" s="46" t="str">
        <x:v>Graduate Diploma in Environmental Studies</x:v>
      </x:c>
      <x:c r="E87" s="46"/>
      <x:c r="F87" s="46" t="n">
        <x:v>7</x:v>
      </x:c>
      <x:c r="G87" s="46" t="str">
        <x:v>Graduate Diploma</x:v>
      </x:c>
      <x:c r="H87" s="46" t="str">
        <x:v>On campus / in-person (may include blended components)</x:v>
      </x:c>
      <x:c r="I87" s="46" t="str">
        <x:v>Yes — provider publishes international/on-campus availability</x:v>
      </x:c>
      <x:c r="J87" s="46" t="str">
        <x:v>Napier</x:v>
      </x:c>
      <x:c r="K87" s="46" t="str">
        <x:v>1 year</x:v>
      </x:c>
      <x:c r="L87" s="46"/>
      <x:c r="M87" s="46" t="str">
        <x:v>February 2027; July 2027</x:v>
      </x:c>
      <x:c r="N87" s="46" t="str">
        <x:v>Standard $26,000; 2026 scholarship net $24,500</x:v>
      </x:c>
      <x:c r="O87" s="46" t="str">
        <x:v>Per year for undergraduate; per programme for postgraduate</x:v>
      </x:c>
      <x:c r="P87" s="46" t="str">
        <x:v>2026</x:v>
      </x:c>
      <x:c r="Q87" s="46" t="str">
        <x:v>Not published; 2026 fee shown only</x:v>
      </x:c>
      <x:c r="R87" s="46"/>
      <x:c r="S87" s="46" t="str">
        <x:v>EIT Agent Questionnaire - Chinese Agent Reference Check New Agent Questionnaire ELTO Homestay Questionnaire Graduate Diploma in Business Endorsements 2017</x:v>
      </x:c>
      <x:c r="T87" s="46"/>
      <x:c r="U87" s="46" t="str">
        <x:v>2026 EIT scholarship/net fee: $24,500</x:v>
      </x:c>
      <x:c r="V87" s="59" t="str">
        <x:v>https://www.eit.ac.nz/programmes/graduate-diploma-in-environmental-studies/</x:v>
      </x:c>
      <x:c r="W87" s="59" t="str">
        <x:v>https://www.eit.ac.nz/wp-content/uploads/programme-app-packs/int%20Programme%20Matrix.pdf</x:v>
      </x:c>
      <x:c r="X87" s="46" t="str">
        <x:v>2026-07-29</x:v>
      </x:c>
      <x:c r="Y87" s="46" t="str">
        <x:v>Double-checked: live programme page + official international source</x:v>
      </x:c>
      <x:c r="Z87" s="46" t="str">
        <x:v>Online-only occurrences excluded. 2027 months come from the live programme page under the site's 2027-enrolment banner; 2027 fees not published.</x:v>
      </x:c>
      <x:c r="AA87" s="46"/>
      <x:c r="AB87" s="46" t="str">
        <x:v>Published by provider</x:v>
      </x:c>
      <x:c r="AC87" s="47" t="str">
        <x:v>February 2027; July 2027</x:v>
      </x:c>
    </x:row>
    <x:row r="88" ht="48" customHeight="1">
      <x:c r="A88" s="51" t="str">
        <x:v>Eastern Institute of Technology</x:v>
      </x:c>
      <x:c r="B88" s="52" t="str">
        <x:v>EIT</x:v>
      </x:c>
      <x:c r="C88" s="52" t="str">
        <x:v>Sport &amp; Outdoor</x:v>
      </x:c>
      <x:c r="D88" s="52" t="str">
        <x:v>NZ Diploma in Sport, Recreation and Exercise</x:v>
      </x:c>
      <x:c r="E88" s="52"/>
      <x:c r="F88" s="52" t="n">
        <x:v>5</x:v>
      </x:c>
      <x:c r="G88" s="52" t="str">
        <x:v>Diploma</x:v>
      </x:c>
      <x:c r="H88" s="52" t="str">
        <x:v>On campus / in-person (may include blended components)</x:v>
      </x:c>
      <x:c r="I88" s="52" t="str">
        <x:v>Yes — provider publishes international/on-campus availability</x:v>
      </x:c>
      <x:c r="J88" s="52" t="str">
        <x:v>Napier</x:v>
      </x:c>
      <x:c r="K88" s="52" t="str">
        <x:v>1 year</x:v>
      </x:c>
      <x:c r="L88" s="52"/>
      <x:c r="M88" s="52" t="str">
        <x:v>February 2027; July 2027</x:v>
      </x:c>
      <x:c r="N88" s="52" t="str">
        <x:v>Standard $26,000; 2026 scholarship net $24,500</x:v>
      </x:c>
      <x:c r="O88" s="52" t="str">
        <x:v>Per year for undergraduate; per programme for postgraduate</x:v>
      </x:c>
      <x:c r="P88" s="52" t="str">
        <x:v>2026</x:v>
      </x:c>
      <x:c r="Q88" s="52" t="str">
        <x:v>Not published; 2026 fee shown only</x:v>
      </x:c>
      <x:c r="R88" s="52"/>
      <x:c r="S88" s="52" t="str">
        <x:v>EIT Agent Questionnaire - Chinese Agent Reference Check New Agent Questionnaire ELTO Homestay Questionnaire Graduate Diploma in Business Endorsements 2017</x:v>
      </x:c>
      <x:c r="T88" s="52"/>
      <x:c r="U88" s="52" t="str">
        <x:v>2026 EIT scholarship/net fee: $24,500</x:v>
      </x:c>
      <x:c r="V88" s="58" t="str">
        <x:v>https://www.eit.ac.nz/programmes/nz-diploma-in-sport-recreation-and-exercise/</x:v>
      </x:c>
      <x:c r="W88" s="58" t="str">
        <x:v>https://www.eit.ac.nz/wp-content/uploads/programme-app-packs/int%20Programme%20Matrix.pdf</x:v>
      </x:c>
      <x:c r="X88" s="52" t="str">
        <x:v>2026-07-29</x:v>
      </x:c>
      <x:c r="Y88" s="52" t="str">
        <x:v>Double-checked: live programme page + official international source</x:v>
      </x:c>
      <x:c r="Z88" s="52" t="str">
        <x:v>Online-only occurrences excluded. 2027 months come from the live programme page under the site's 2027-enrolment banner; 2027 fees not published.</x:v>
      </x:c>
      <x:c r="AA88" s="52"/>
      <x:c r="AB88" s="52" t="str">
        <x:v>Published by provider</x:v>
      </x:c>
      <x:c r="AC88" s="53" t="str">
        <x:v>February 2027; July 2027</x:v>
      </x:c>
    </x:row>
    <x:row r="89" ht="48" customHeight="1">
      <x:c r="A89" s="45" t="str">
        <x:v>Manukau Institute of Technology and Unitec</x:v>
      </x:c>
      <x:c r="B89" s="46" t="str">
        <x:v>MIT</x:v>
      </x:c>
      <x:c r="C89" s="46" t="str">
        <x:v>English Language</x:v>
      </x:c>
      <x:c r="D89" s="46" t="str">
        <x:v>Take your English language skills to the next level for higher education</x:v>
      </x:c>
      <x:c r="E89" s="46"/>
      <x:c r="F89" s="46" t="n">
        <x:v>4</x:v>
      </x:c>
      <x:c r="G89" s="46" t="str">
        <x:v>Qualification</x:v>
      </x:c>
      <x:c r="H89" s="46" t="str">
        <x:v>On campus / in-person (may include blended components)</x:v>
      </x:c>
      <x:c r="I89" s="46" t="str">
        <x:v>Yes — provider publishes international/on-campus availability</x:v>
      </x:c>
      <x:c r="J89" s="46" t="str">
        <x:v>MIT Ōtara</x:v>
      </x:c>
      <x:c r="K89" s="46" t="str">
        <x:v>Full-time for 16 teaching weeks, part-time available. The maximum time to complete this programme part-time is 2 years.</x:v>
      </x:c>
      <x:c r="L89" s="46" t="str">
        <x:v>September 2026</x:v>
      </x:c>
      <x:c r="M89" s="46"/>
      <x:c r="N89" s="46" t="str">
        <x:v>$6,950</x:v>
      </x:c>
      <x:c r="O89" s="46"/>
      <x:c r="P89" s="46" t="str">
        <x:v>2026</x:v>
      </x:c>
      <x:c r="Q89" s="46" t="str">
        <x:v>No 2027 intake in this verified row</x:v>
      </x:c>
      <x:c r="R89" s="46" t="str">
        <x:v>, Maritime New Zealand mandatory requirements, accommodation, fees and estimated living costs are available for both local and international students.NursingOur programmes are responsive to the changing needs of the health sector, and our lecturers are highly qualified and well respected for their teaching and clinical skills. We provide a supportive learning environment to meet the educational needs of our students, and we will gladly explore any educational requirements not catered for in our current offerings.PasifikaCome to the Pasifika Community Centre at MIT and get some insight and experience with a Pacific perspective. Our face-to-face and customisable workshops are focused on accelerating engagement with Pacific peoples and will help you to better appreciate or reconnect with Paci</x:v>
      </x:c>
      <x:c r="S89" s="46" t="str">
        <x:v>overall IELTS (Academic) band score of 5.5; or Or equivalent. Special &amp; discretionary admission Any ākonga who is 20 years of age or older and has not reached the general admission requirements</x:v>
      </x:c>
      <x:c r="T89" s="46"/>
      <x:c r="U89" s="46" t="str">
        <x:v>No programme-specific international study grant confirmed on the MIT programme page.</x:v>
      </x:c>
      <x:c r="V89" s="59" t="str">
        <x:v>https://www.manukau.ac.nz/programme/new-zealand-certificate-in-english-language-academic-level-4/</x:v>
      </x:c>
      <x:c r="W89" s="59" t="str">
        <x:v>https://www.manukau.ac.nz/study/international-students/areas-of-study/</x:v>
      </x:c>
      <x:c r="X89" s="46" t="str">
        <x:v>2026-07-29</x:v>
      </x:c>
      <x:c r="Y89" s="46" t="str">
        <x:v>Double-checked: live programme page + official international source</x:v>
      </x:c>
      <x:c r="Z89" s="46" t="str">
        <x:v>Month-only intake is retained exactly as MIT publishes it. Programmes marked unavailable to international students are excluded. 2027 planning date is projected from the 2026 start pattern and is not provider-confirmed.</x:v>
      </x:c>
      <x:c r="AA89" s="46" t="str">
        <x:v>Projected from 2026 pattern: September 2027</x:v>
      </x:c>
      <x:c r="AB89" s="46" t="str">
        <x:v>Projected from 2026 pattern — not provider-published; reconfirm before application</x:v>
      </x:c>
      <x:c r="AC89" s="47" t="str">
        <x:v>Projected from 2026 pattern: September 2027</x:v>
      </x:c>
    </x:row>
    <x:row r="90" ht="48" customHeight="1">
      <x:c r="A90" s="51" t="str">
        <x:v>Manukau Institute of Technology and Unitec</x:v>
      </x:c>
      <x:c r="B90" s="52" t="str">
        <x:v>MIT</x:v>
      </x:c>
      <x:c r="C90" s="52" t="str">
        <x:v>Other</x:v>
      </x:c>
      <x:c r="D90" s="52" t="str">
        <x:v>Study towards your Skipper Restricted Limits (SRL) certificate of competency</x:v>
      </x:c>
      <x:c r="E90" s="52"/>
      <x:c r="F90" s="52" t="n">
        <x:v>4</x:v>
      </x:c>
      <x:c r="G90" s="52" t="str">
        <x:v>Certificate</x:v>
      </x:c>
      <x:c r="H90" s="52" t="str">
        <x:v>On campus / in-person (may include blended components)</x:v>
      </x:c>
      <x:c r="I90" s="52" t="str">
        <x:v>Yes — provider publishes international/on-campus availability</x:v>
      </x:c>
      <x:c r="J90" s="52" t="str">
        <x:v>New Zealand Maritime School, Auckland</x:v>
      </x:c>
      <x:c r="K90" s="52" t="str">
        <x:v>Full-time for 26 teaching weeksOnline: First 22 weeksOnsite: Last 4 weeksPart-time availableThe maximum time to complete this programme part-time is 5 years.</x:v>
      </x:c>
      <x:c r="L90" s="52" t="str">
        <x:v>September 2026; December 2026</x:v>
      </x:c>
      <x:c r="M90" s="52"/>
      <x:c r="N90" s="52" t="str">
        <x:v>$18,417</x:v>
      </x:c>
      <x:c r="O90" s="52"/>
      <x:c r="P90" s="52" t="str">
        <x:v>2026</x:v>
      </x:c>
      <x:c r="Q90" s="52" t="str">
        <x:v>No 2027 intake in this verified row</x:v>
      </x:c>
      <x:c r="R90" s="52" t="str">
        <x:v>, Maritime New Zealand mandatory requirements, accommodation, fees and estimated living costs are available for both local and international students.NursingOur programmes are responsive to the changing needs of the health sector, and our lecturers are highly qualified and well respected for their teaching and clinical skills. We provide a supportive learning environment to meet the educational needs of our students, and we will gladly explore any educational requirements not catered for in our current offerings.PasifikaCome to the Pasifika Community Centre at MIT and get some insight and experience with a Pacific perspective. Our face-to-face and customisable workshops are focused on accelerating engagement with Pacific peoples and will help you to better appreciate or reconnect with Paci</x:v>
      </x:c>
      <x:c r="S90" s="52" t="str">
        <x:v>For the minimum English language requirements refer to the requirements set out in the NZQF Programme and Accreditation Rules. International students will generally be required to provide evidence of English language proficiency, for this programme an IELTS General or Academic score of 5.5 with no band score lower than 5 is required. Equivalent acceptable evidence can be seen at the following NZQA link. Important information Entry to this qualification is open but completion does not guarantee the award of a Maritime New Zealand licence. All persons wishing to qualify for a seafarer licence must also check the Maritime New Zealand prior certi</x:v>
      </x:c>
      <x:c r="T90" s="52"/>
      <x:c r="U90" s="52" t="str">
        <x:v>No programme-specific international study grant confirmed on the MIT programme page.</x:v>
      </x:c>
      <x:c r="V90" s="58" t="str">
        <x:v>https://www.manukau.ac.nz/programme/new-zealand-certificate-in-domestic-maritime-operations-restricted-limits-level-4/</x:v>
      </x:c>
      <x:c r="W90" s="58" t="str">
        <x:v>https://www.manukau.ac.nz/study/international-students/areas-of-study/</x:v>
      </x:c>
      <x:c r="X90" s="52" t="str">
        <x:v>2026-07-29</x:v>
      </x:c>
      <x:c r="Y90" s="52" t="str">
        <x:v>Double-checked: live programme page + official international source</x:v>
      </x:c>
      <x:c r="Z90" s="52" t="str">
        <x:v>Month-only intake is retained exactly as MIT publishes it. Programmes marked unavailable to international students are excluded. 2027 planning date is projected from the 2026 start pattern and is not provider-confirmed.</x:v>
      </x:c>
      <x:c r="AA90" s="52" t="str">
        <x:v>Projected from 2026 pattern: September 2027; December 2027</x:v>
      </x:c>
      <x:c r="AB90" s="52" t="str">
        <x:v>Projected from 2026 pattern — not provider-published; reconfirm before application</x:v>
      </x:c>
      <x:c r="AC90" s="53" t="str">
        <x:v>Projected from 2026 pattern: September 2027; December 2027</x:v>
      </x:c>
    </x:row>
    <x:row r="91" ht="48" customHeight="1">
      <x:c r="A91" s="45" t="str">
        <x:v>Manukau Institute of Technology and Unitec</x:v>
      </x:c>
      <x:c r="B91" s="46" t="str">
        <x:v>Unitec</x:v>
      </x:c>
      <x:c r="C91" s="46" t="str">
        <x:v>Business &amp; Management</x:v>
      </x:c>
      <x:c r="D91" s="46" t="str">
        <x:v>Master of Applied Business</x:v>
      </x:c>
      <x:c r="E91" s="46"/>
      <x:c r="F91" s="46" t="n">
        <x:v>9</x:v>
      </x:c>
      <x:c r="G91" s="46" t="str">
        <x:v>Master's Degree</x:v>
      </x:c>
      <x:c r="H91" s="46" t="str">
        <x:v>On campus / in-person (may include blended components)</x:v>
      </x:c>
      <x:c r="I91" s="46" t="str">
        <x:v>Yes — provider publishes international/on-campus availability</x:v>
      </x:c>
      <x:c r="J91" s="46" t="str">
        <x:v>Mt Albert Campus, Auckland</x:v>
      </x:c>
      <x:c r="K91" s="46" t="str">
        <x:v>Full-time for 18 months. Part-time options available.</x:v>
      </x:c>
      <x:c r="L91" s="46" t="str">
        <x:v>Sem 2b 2026: 12 Oct 2026 – 21 Feb 2027</x:v>
      </x:c>
      <x:c r="M91" s="46"/>
      <x:c r="N91" s="46" t="str">
        <x:v>$30,415 (NZD) (approximate fees for 120 credits)</x:v>
      </x:c>
      <x:c r="O91" s="46" t="str">
        <x:v>Approximate fee for 120 credits</x:v>
      </x:c>
      <x:c r="P91" s="46" t="str">
        <x:v>2026</x:v>
      </x:c>
      <x:c r="Q91" s="46" t="str">
        <x:v>No 2027 intake in this verified row</x:v>
      </x:c>
      <x:c r="R91" s="46" t="str">
        <x:v>You must have completed at least one of the following: A recognised bachelor’s degree (or higher) in a relevant discipline with merit achievement deemed to be a grade average of B- or higher; or A professional qualification in a relevant discipline recognised as being equivalent to merit achievement in a bachelor’s degree or equivalent. And meet one of the</x:v>
      </x:c>
      <x:c r="S91" s="46" t="str">
        <x:v>; University Entrance Literacy: 8 credits at Level 2 or above in English or Māori (4 in Reading, 4 in Writing); or Evidence of English language proficiency as outlined in the NZQA Rules on the Unitec English Language Requirements for International Students Web-page. Don’t meet these Academic requirements? If you don’t meet the academic criteria, our Bridging Education Programmes can help you qualify. Simply apply online, and we’ll discuss your next steps. If you don’t meet the above criteria, special or discretionary admission may apply; your eligibility will be determined at the interview. For more information, download the programme regulat</x:v>
      </x:c>
      <x:c r="T91" s="46"/>
      <x:c r="U91" s="46" t="str">
        <x:v>Unitec International Study Grant 2026: save up to $2,500, subject to terms.</x:v>
      </x:c>
      <x:c r="V91" s="59" t="str">
        <x:v>https://www.unitec.ac.nz/career-and-study-options/business/management/master-of-applied-business/</x:v>
      </x:c>
      <x:c r="W91" s="59" t="str">
        <x:v>https://www.unitec.ac.nz/career-and-study-options/all-international-programmes/</x:v>
      </x:c>
      <x:c r="X91" s="46" t="str">
        <x:v>2026-07-29</x:v>
      </x:c>
      <x:c r="Y91" s="46" t="str">
        <x:v>Double-checked: live programme page + official international source</x:v>
      </x:c>
      <x:c r="Z91" s="46" t="str">
        <x:v>Programme appears in Unitec's All International Programmes list. 2027 fee not inferred. 2027 planning date is projected from the 2026 start pattern and is not provider-confirmed.</x:v>
      </x:c>
      <x:c r="AA91" s="46" t="str">
        <x:v>Projected from 2026 pattern: Sem 2b 2027: 12 Oct 2027 – 21 Feb 2028</x:v>
      </x:c>
      <x:c r="AB91" s="46" t="str">
        <x:v>Projected from 2026 pattern — not provider-published; reconfirm before application</x:v>
      </x:c>
      <x:c r="AC91" s="47" t="str">
        <x:v>Projected from 2026 pattern: Sem 2b 2027: 12 Oct 2027 – 21 Feb 2028</x:v>
      </x:c>
    </x:row>
    <x:row r="92" ht="48" customHeight="1">
      <x:c r="A92" s="51" t="str">
        <x:v>Manukau Institute of Technology and Unitec</x:v>
      </x:c>
      <x:c r="B92" s="52" t="str">
        <x:v>Unitec</x:v>
      </x:c>
      <x:c r="C92" s="52" t="str">
        <x:v>English Language</x:v>
      </x:c>
      <x:c r="D92" s="52" t="str">
        <x:v>New Zealand Certificate in English Language (Academic) (Level 4)</x:v>
      </x:c>
      <x:c r="E92" s="52"/>
      <x:c r="F92" s="52" t="n">
        <x:v>4</x:v>
      </x:c>
      <x:c r="G92" s="52" t="str">
        <x:v>Certificate</x:v>
      </x:c>
      <x:c r="H92" s="52" t="str">
        <x:v>On campus / in-person (may include blended components)</x:v>
      </x:c>
      <x:c r="I92" s="52" t="str">
        <x:v>Yes — provider publishes international/on-campus availability</x:v>
      </x:c>
      <x:c r="J92" s="52" t="str">
        <x:v>Mt Albert Campus, Auckland</x:v>
      </x:c>
      <x:c r="K92" s="52" t="str">
        <x:v>Full-time for 16 weeks or part-time options available</x:v>
      </x:c>
      <x:c r="L92" s="52" t="str">
        <x:v>Sem 2 B : 21 Sep 2026 – 5 Feb 2027</x:v>
      </x:c>
      <x:c r="M92" s="52"/>
      <x:c r="N92" s="52" t="str">
        <x:v>$7,157 (NZD) (approximate fees for 60 credits)</x:v>
      </x:c>
      <x:c r="O92" s="52" t="str">
        <x:v>Approximate fee for 120 credits</x:v>
      </x:c>
      <x:c r="P92" s="52" t="str">
        <x:v>2026</x:v>
      </x:c>
      <x:c r="Q92" s="52" t="str">
        <x:v>No 2027 intake in this verified row</x:v>
      </x:c>
      <x:c r="R92" s="52" t="str">
        <x:v>For this programme, you will need the following: Be 16 years old by the time the programme starts A New Zealand Certificate in English Language (Applied) (Level 3) or equivalent, IELTS (Academic) with an overall score of 5.5 with no band lower than 5.0, or achieve an appropriate score on Unitec’s Language Studies English Language Placement Test. If you don’t meet these requirements, you may still apply under special or discretionary entrance. For more information download the programme regulations: Courses and timetables For more details on the courses including timetables, please click on the course names below. Debug program code:NZCE4 - ACADEMIC4Compulsory Course ID:013351 - 4181 - Listening for Academic PurposesSELECT * FROM PS_UTC_IR_TMTL_VW INNER JOIN PS_CLASS_TBL_VW ON PS_UTC_IR_TMT</x:v>
      </x:c>
      <x:c r="S92" s="52" t="str">
        <x:v>IELTS 6.0. Career Options Improve your English for work in a professional field or continue your studies. Annual Tuition Fees Domestic/NZ students $3,700 (Approximate fees only - includ</x:v>
      </x:c>
      <x:c r="T92" s="52"/>
      <x:c r="U92" s="52" t="str">
        <x:v>Unitec International Study Grant 2026: save up to $2,000, subject to terms.</x:v>
      </x:c>
      <x:c r="V92" s="58" t="str">
        <x:v>https://www.unitec.ac.nz/career-and-study-options/english-language/new-zealand-certificate-in-english-language-academic-level-4/</x:v>
      </x:c>
      <x:c r="W92" s="58" t="str">
        <x:v>https://www.unitec.ac.nz/career-and-study-options/all-international-programmes/</x:v>
      </x:c>
      <x:c r="X92" s="52" t="str">
        <x:v>2026-07-29</x:v>
      </x:c>
      <x:c r="Y92" s="52" t="str">
        <x:v>Double-checked: live programme page + official international source</x:v>
      </x:c>
      <x:c r="Z92" s="52" t="str">
        <x:v>Programme appears in Unitec's All International Programmes list. 2027 fee not inferred. 2027 planning date is projected from the 2026 start pattern and is not provider-confirmed.</x:v>
      </x:c>
      <x:c r="AA92" s="52" t="str">
        <x:v>Projected from 2026 pattern: Sem 2 B : 21 Sep 2027 – 5 Feb 2028</x:v>
      </x:c>
      <x:c r="AB92" s="52" t="str">
        <x:v>Projected from 2026 pattern — not provider-published; reconfirm before application</x:v>
      </x:c>
      <x:c r="AC92" s="53" t="str">
        <x:v>Projected from 2026 pattern: Sem 2 B : 21 Sep 2027 – 5 Feb 2028</x:v>
      </x:c>
    </x:row>
    <x:row r="93" ht="48" customHeight="1">
      <x:c r="A93" s="45" t="str">
        <x:v>Manukau Institute of Technology and Unitec</x:v>
      </x:c>
      <x:c r="B93" s="46" t="str">
        <x:v>Unitec</x:v>
      </x:c>
      <x:c r="C93" s="46" t="str">
        <x:v>Health &amp; Nursing</x:v>
      </x:c>
      <x:c r="D93" s="46" t="str">
        <x:v>Bachelor of Nursing</x:v>
      </x:c>
      <x:c r="E93" s="46"/>
      <x:c r="F93" s="46" t="n">
        <x:v>7</x:v>
      </x:c>
      <x:c r="G93" s="46" t="str">
        <x:v>Bachelor's Degree</x:v>
      </x:c>
      <x:c r="H93" s="46" t="str">
        <x:v>On campus / in-person (may include blended components)</x:v>
      </x:c>
      <x:c r="I93" s="46" t="str">
        <x:v>Yes — provider publishes international/on-campus availability</x:v>
      </x:c>
      <x:c r="J93" s="46" t="str">
        <x:v>Waitākere Campus, Auckland</x:v>
      </x:c>
      <x:c r="K93" s="46" t="str">
        <x:v>Full-time for three years</x:v>
      </x:c>
      <x:c r="L93" s="46"/>
      <x:c r="M93" s="46" t="str">
        <x:v>Sem 1 2027: 15 Feb – 28 Jun; Sem 2 2027: 12 Jul – 22 Nov</x:v>
      </x:c>
      <x:c r="N93" s="46" t="str">
        <x:v>$30,185 (NZD) (approximate fees for 120 credits)</x:v>
      </x:c>
      <x:c r="O93" s="46" t="str">
        <x:v>Approximate fee for 120 credits</x:v>
      </x:c>
      <x:c r="P93" s="46" t="str">
        <x:v>2026</x:v>
      </x:c>
      <x:c r="Q93" s="46" t="str">
        <x:v>Not published; 2026 fee shown only</x:v>
      </x:c>
      <x:c r="R93" s="46" t="str">
        <x:v>You must have completed at least one of the following: Achieved University Entrance: 3 subjects at NCEA Level 3 or above, made up of 14 credits each, in three approved subjects Literacy: 10 credits at NCEA Level 2 or above, made up of 5 credits in reading and 5 credits in writing Numeracy 10 credits at NCEA Level 1 or above, made up of Achievement standards – specified achievement standards available through a range of subjects, or Unit standards – package of three numeracy unit standards (26623, 26626, 26627 – all three required) A minimum of 12 credits at NCEA Level 2 or higher from one science subject (Biology, Chemistry, Physics or Science) OR Successful completion of the NZ Certificate in Study and Employment Pathways Level 4(Health) with a minimum 70% grade average, and minimum grade</x:v>
      </x:c>
      <x:c r="S93" s="46" t="str">
        <x:v>; 10 credits at Level 2 or above in English or Māori (5 in Reading, 5 in Writing); or Evidence of English language proficiency as outlined in the NZQA Rules on the Unitec English Language Requirements for International Students Web-page. Don’t meet these Academic requirements? If you don’t meet the academic criteria, our Bridging Education Programmes can help you qualify. Apply online, and we’ll be in touch about your next steps. If you don’t meet the above criteria, special or discretionary admission may apply; your eligibility will be determined at the interview. Non-academic requirements Two forms of ID and evidence of any name changes if </x:v>
      </x:c>
      <x:c r="T93" s="46"/>
      <x:c r="U93" s="46" t="str">
        <x:v>Unitec International Study Grant 2026: save up to $2,000, subject to terms.</x:v>
      </x:c>
      <x:c r="V93" s="59" t="str">
        <x:v>https://www.unitec.ac.nz/career-and-study-options/healthcare/nursing/bachelor-of-nursing/</x:v>
      </x:c>
      <x:c r="W93" s="59" t="str">
        <x:v>https://www.unitec.ac.nz/career-and-study-options/all-international-programmes/</x:v>
      </x:c>
      <x:c r="X93" s="46" t="str">
        <x:v>2026-07-29</x:v>
      </x:c>
      <x:c r="Y93" s="46" t="str">
        <x:v>Double-checked: live programme page + official international source</x:v>
      </x:c>
      <x:c r="Z93" s="46" t="str">
        <x:v>Programme appears in Unitec's All International Programmes list. 2027 fee not inferred.</x:v>
      </x:c>
      <x:c r="AA93" s="46"/>
      <x:c r="AB93" s="46" t="str">
        <x:v>Published by provider</x:v>
      </x:c>
      <x:c r="AC93" s="47" t="str">
        <x:v>Sem 1 2027: 15 Feb – 28 Jun; Sem 2 2027: 12 Jul – 22 Nov</x:v>
      </x:c>
    </x:row>
    <x:row r="94" ht="48" customHeight="1">
      <x:c r="A94" s="51" t="str">
        <x:v>Nelson Marlborough Institute of Technology</x:v>
      </x:c>
      <x:c r="B94" s="52" t="str">
        <x:v>NMIT</x:v>
      </x:c>
      <x:c r="C94" s="52" t="str">
        <x:v>Beauty &amp; Hair</x:v>
      </x:c>
      <x:c r="D94" s="52" t="str">
        <x:v>Diploma in Beauty Therapy (Level 5)</x:v>
      </x:c>
      <x:c r="E94" s="52"/>
      <x:c r="F94" s="52" t="n">
        <x:v>5</x:v>
      </x:c>
      <x:c r="G94" s="52" t="str">
        <x:v>Diploma</x:v>
      </x:c>
      <x:c r="H94" s="52" t="str">
        <x:v>On campus / in-person (may include blended components)</x:v>
      </x:c>
      <x:c r="I94" s="52" t="str">
        <x:v>Yes — provider publishes international/on-campus availability</x:v>
      </x:c>
      <x:c r="J94" s="52" t="str">
        <x:v>Nelson</x:v>
      </x:c>
      <x:c r="K94" s="52" t="str">
        <x:v>34 teaching weeks plus 6 weeks of study break</x:v>
      </x:c>
      <x:c r="L94" s="52"/>
      <x:c r="M94" s="52" t="str">
        <x:v>15 February 2027</x:v>
      </x:c>
      <x:c r="N94" s="52" t="str">
        <x:v>$26,576 per year (standard undergraduate band; verify programme-specific prospectus row)</x:v>
      </x:c>
      <x:c r="O94" s="52" t="str">
        <x:v>2026 international prospectus basis</x:v>
      </x:c>
      <x:c r="P94" s="52" t="str">
        <x:v>2026</x:v>
      </x:c>
      <x:c r="Q94" s="52" t="str">
        <x:v>Not published; 2026 fee shown only</x:v>
      </x:c>
      <x:c r="R94"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94" s="52" t="str">
        <x:v>If English is not the applicant’s first language they will need to provide a result from a test or qualification on the acceptable alternatives English Proficiency Outcomes Table.(external link) Applicants who do not have evidence of English language skills and are a New Zealand citizen or permanent resident, may contact NMIT for an assessment. IELTS 5.5 Academic (no lower than 5.0 in any subtest) IELTS scores used must be taken from a single IELTS Test Report Form and are valid for two years from the date of the test. Note: Applicants who have achieved NCEA Level 3 University Entrance requirements are not required to provide evidence of Engl</x:v>
      </x:c>
      <x:c r="T94" s="52"/>
      <x:c r="U94" s="52" t="str">
        <x:v>NMIT 2026 international study grants may apply; programme/country eligibility must be checked.</x:v>
      </x:c>
      <x:c r="V94" s="58" t="str">
        <x:v>https://www.nmit.ac.nz/study/programmes/new-zealand-diploma-in-beauty-therapy</x:v>
      </x:c>
      <x:c r="W94" s="58" t="str">
        <x:v>https://www.nmit.ac.nz/assets/Uploads/Publications-and-brochures/Prospectus/NMIT-International-Prospectus-2026_Jul25-Web-V2.pdf</x:v>
      </x:c>
      <x:c r="X94" s="52" t="str">
        <x:v>2026-07-29</x:v>
      </x:c>
      <x:c r="Y94" s="52" t="str">
        <x:v>Double-checked: live programme page + official international source</x:v>
      </x:c>
      <x:c r="Z94" s="52" t="str">
        <x:v>Only programmes appearing in the 2026 international prospectus are included. Live page supplies the 2027 date.</x:v>
      </x:c>
      <x:c r="AA94" s="52"/>
      <x:c r="AB94" s="52" t="str">
        <x:v>Published by provider</x:v>
      </x:c>
      <x:c r="AC94" s="53" t="str">
        <x:v>15 February 2027</x:v>
      </x:c>
    </x:row>
    <x:row r="95" ht="48" customHeight="1">
      <x:c r="A95" s="45" t="str">
        <x:v>Nelson Marlborough Institute of Technology</x:v>
      </x:c>
      <x:c r="B95" s="46" t="str">
        <x:v>NMIT</x:v>
      </x:c>
      <x:c r="C95" s="46" t="str">
        <x:v>Beauty &amp; Hair</x:v>
      </x:c>
      <x:c r="D95" s="46" t="str">
        <x:v>New Zealand Certificate in Beauty Therapy (Level 4)</x:v>
      </x:c>
      <x:c r="E95" s="46"/>
      <x:c r="F95" s="46" t="n">
        <x:v>4</x:v>
      </x:c>
      <x:c r="G95" s="46" t="str">
        <x:v>Certificate</x:v>
      </x:c>
      <x:c r="H95" s="46" t="str">
        <x:v>On campus / in-person (may include blended components)</x:v>
      </x:c>
      <x:c r="I95" s="46" t="str">
        <x:v>Yes — provider publishes international/on-campus availability</x:v>
      </x:c>
      <x:c r="J95" s="46" t="str">
        <x:v>Nelson</x:v>
      </x:c>
      <x:c r="K95" s="46" t="str">
        <x:v>34 teaching weeks plus 6 weeks of study break</x:v>
      </x:c>
      <x:c r="L95" s="46"/>
      <x:c r="M95" s="46" t="str">
        <x:v>15 February 2027</x:v>
      </x:c>
      <x:c r="N95" s="46" t="str">
        <x:v>$26,576 per year (standard undergraduate band; verify programme-specific prospectus row)</x:v>
      </x:c>
      <x:c r="O95" s="46" t="str">
        <x:v>2026 international prospectus basis</x:v>
      </x:c>
      <x:c r="P95" s="46" t="str">
        <x:v>2026</x:v>
      </x:c>
      <x:c r="Q95" s="46" t="str">
        <x:v>Not published; 2026 fee shown only</x:v>
      </x:c>
      <x:c r="R95"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95" s="46" t="str">
        <x:v>If English is not the applicant’s first language they will need to provide a result from a test or qualification on the acceptable alternatives English Proficiency Outcomes Table.(external link) Applicants who do not have evidence of English language skills and are a New Zealand citizen or permanent resident, may contact NMIT for an assessment. IELTS 5.0 Academic (no lower than 5.0 in any subtest) IELTS scores used must be taken from a single IELTS Test Report Form and are valid for two years from the date of the test. Note: Applicants who have achieved NCEA Level 3 University Entrance requirements are not required to provide evidence of Engl</x:v>
      </x:c>
      <x:c r="T95" s="46"/>
      <x:c r="U95" s="46" t="str">
        <x:v>NMIT 2026 international study grants may apply; programme/country eligibility must be checked.</x:v>
      </x:c>
      <x:c r="V95" s="59" t="str">
        <x:v>https://www.nmit.ac.nz/study/programmes/new-zealand-certificate-in-beauty-therapy</x:v>
      </x:c>
      <x:c r="W95" s="59" t="str">
        <x:v>https://www.nmit.ac.nz/assets/Uploads/Publications-and-brochures/Prospectus/NMIT-International-Prospectus-2026_Jul25-Web-V2.pdf</x:v>
      </x:c>
      <x:c r="X95" s="46" t="str">
        <x:v>2026-07-29</x:v>
      </x:c>
      <x:c r="Y95" s="46" t="str">
        <x:v>Double-checked: live programme page + official international source</x:v>
      </x:c>
      <x:c r="Z95" s="46" t="str">
        <x:v>Only programmes appearing in the 2026 international prospectus are included. Live page supplies the 2027 date.</x:v>
      </x:c>
      <x:c r="AA95" s="46"/>
      <x:c r="AB95" s="46" t="str">
        <x:v>Published by provider</x:v>
      </x:c>
      <x:c r="AC95" s="47" t="str">
        <x:v>15 February 2027</x:v>
      </x:c>
    </x:row>
    <x:row r="96" ht="48" customHeight="1">
      <x:c r="A96" s="51" t="str">
        <x:v>Nelson Marlborough Institute of Technology</x:v>
      </x:c>
      <x:c r="B96" s="52" t="str">
        <x:v>NMIT</x:v>
      </x:c>
      <x:c r="C96" s="52" t="str">
        <x:v>Business &amp; Management</x:v>
      </x:c>
      <x:c r="D96" s="52" t="str">
        <x:v>Master of Applied Management</x:v>
      </x:c>
      <x:c r="E96" s="52"/>
      <x:c r="F96" s="52" t="n">
        <x:v>9</x:v>
      </x:c>
      <x:c r="G96" s="52" t="str">
        <x:v>Master's Degree</x:v>
      </x:c>
      <x:c r="H96" s="52" t="str">
        <x:v>On campus / in-person (may include blended components)</x:v>
      </x:c>
      <x:c r="I96" s="52" t="str">
        <x:v>Yes — provider publishes international/on-campus availability</x:v>
      </x:c>
      <x:c r="J96" s="52" t="str">
        <x:v>Nelson</x:v>
      </x:c>
      <x:c r="K96" s="52" t="str">
        <x:v>51 teaching weeks and up to 8 weeks of study break</x:v>
      </x:c>
      <x:c r="L96" s="52"/>
      <x:c r="M96" s="52" t="str">
        <x:v>22 February 2027; 19 July 2027; 11 October 2027</x:v>
      </x:c>
      <x:c r="N96" s="52" t="str">
        <x:v>$12,424</x:v>
      </x:c>
      <x:c r="O96" s="52" t="str">
        <x:v>2026 international prospectus basis</x:v>
      </x:c>
      <x:c r="P96" s="52" t="str">
        <x:v>2026</x:v>
      </x:c>
      <x:c r="Q96" s="52" t="str">
        <x:v>Not published; 2026 fee shown only</x:v>
      </x:c>
      <x:c r="R96"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96" s="52" t="str">
        <x:v>If English is not the applicant’s first language, applicants will need to provide a result from a test or qualification listed as an acceptable alternative by NZQA English Language Proficiency Outcomes(external link): IELTS 6.5 Academic (no lower than 6.0 in each band), Note: Applicants who do not have evidence of English language skills and are a New Zealand citizen or permanent resident, may contact NMIT for an assessmentInterviewApplicants may be interviewed to assess their suitability for the programme.</x:v>
      </x:c>
      <x:c r="T96" s="52"/>
      <x:c r="U96" s="52" t="str">
        <x:v>NMIT 2026 international study grants may apply; programme/country eligibility must be checked.</x:v>
      </x:c>
      <x:c r="V96" s="58" t="str">
        <x:v>https://www.nmit.ac.nz/study/programmes/master-of-management</x:v>
      </x:c>
      <x:c r="W96" s="58" t="str">
        <x:v>https://www.nmit.ac.nz/assets/Uploads/Publications-and-brochures/Prospectus/NMIT-International-Prospectus-2026_Jul25-Web-V2.pdf</x:v>
      </x:c>
      <x:c r="X96" s="52" t="str">
        <x:v>2026-07-29</x:v>
      </x:c>
      <x:c r="Y96" s="52" t="str">
        <x:v>Double-checked: live programme page + official international source</x:v>
      </x:c>
      <x:c r="Z96" s="52" t="str">
        <x:v>Only programmes appearing in the 2026 international prospectus are included. Live page supplies the 2027 date.</x:v>
      </x:c>
      <x:c r="AA96" s="52"/>
      <x:c r="AB96" s="52" t="str">
        <x:v>Published by provider</x:v>
      </x:c>
      <x:c r="AC96" s="53" t="str">
        <x:v>22 February 2027; 19 July 2027; 11 October 2027</x:v>
      </x:c>
    </x:row>
    <x:row r="97" ht="48" customHeight="1">
      <x:c r="A97" s="45" t="str">
        <x:v>Nelson Marlborough Institute of Technology</x:v>
      </x:c>
      <x:c r="B97" s="46" t="str">
        <x:v>NMIT</x:v>
      </x:c>
      <x:c r="C97" s="46" t="str">
        <x:v>Business &amp; Management</x:v>
      </x:c>
      <x:c r="D97" s="46" t="str">
        <x:v>Postgraduate Certificate in Applied Management</x:v>
      </x:c>
      <x:c r="E97" s="46"/>
      <x:c r="F97" s="46" t="n">
        <x:v>8</x:v>
      </x:c>
      <x:c r="G97" s="46" t="str">
        <x:v>Postgraduate Certificate</x:v>
      </x:c>
      <x:c r="H97" s="46" t="str">
        <x:v>On campus / in-person (may include blended components)</x:v>
      </x:c>
      <x:c r="I97" s="46" t="str">
        <x:v>Yes — provider publishes international/on-campus availability</x:v>
      </x:c>
      <x:c r="J97" s="46" t="str">
        <x:v>Nelson</x:v>
      </x:c>
      <x:c r="K97" s="46" t="str">
        <x:v>Full time: 17 teaching weeks plus 2 weeks of study break.</x:v>
      </x:c>
      <x:c r="L97" s="46"/>
      <x:c r="M97" s="46" t="str">
        <x:v>22 February 2027; 19 July 2027</x:v>
      </x:c>
      <x:c r="N97" s="46" t="str">
        <x:v>$26,576 per year (standard undergraduate band; verify programme-specific prospectus row)</x:v>
      </x:c>
      <x:c r="O97" s="46" t="str">
        <x:v>2026 international prospectus basis</x:v>
      </x:c>
      <x:c r="P97" s="46" t="str">
        <x:v>2026</x:v>
      </x:c>
      <x:c r="Q97" s="46" t="str">
        <x:v>Not published; 2026 fee shown only</x:v>
      </x:c>
      <x:c r="R97"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97" s="46" t="str">
        <x:v>If English is not the applicant’s first language, applicants will need to provide a result from a test or qualification listed as an acceptable alternative by NZQA English Proficiency Outcomes(external link) IELTS 6.5 Academic (no lower than 6.0 in each band), Note: Applicants who do not have evidence of English language skills and are a New Zealand citizen or permanent resident, may contact NMIT for an assessmentInterviewApplicants may be interviewed to assess their suitability for the programme.</x:v>
      </x:c>
      <x:c r="T97" s="46"/>
      <x:c r="U97" s="46" t="str">
        <x:v>NMIT 2026 international study grants may apply; programme/country eligibility must be checked.</x:v>
      </x:c>
      <x:c r="V97" s="59" t="str">
        <x:v>https://www.nmit.ac.nz/study/programmes/postgraduate-certificate-in-management</x:v>
      </x:c>
      <x:c r="W97" s="59" t="str">
        <x:v>https://www.nmit.ac.nz/assets/Uploads/Publications-and-brochures/Prospectus/NMIT-International-Prospectus-2026_Jul25-Web-V2.pdf</x:v>
      </x:c>
      <x:c r="X97" s="46" t="str">
        <x:v>2026-07-29</x:v>
      </x:c>
      <x:c r="Y97" s="46" t="str">
        <x:v>Double-checked: live programme page + official international source</x:v>
      </x:c>
      <x:c r="Z97" s="46" t="str">
        <x:v>Only programmes appearing in the 2026 international prospectus are included. Live page supplies the 2027 date.</x:v>
      </x:c>
      <x:c r="AA97" s="46"/>
      <x:c r="AB97" s="46" t="str">
        <x:v>Published by provider</x:v>
      </x:c>
      <x:c r="AC97" s="47" t="str">
        <x:v>22 February 2027; 19 July 2027</x:v>
      </x:c>
    </x:row>
    <x:row r="98" ht="48" customHeight="1">
      <x:c r="A98" s="51" t="str">
        <x:v>Nelson Marlborough Institute of Technology</x:v>
      </x:c>
      <x:c r="B98" s="52" t="str">
        <x:v>NMIT</x:v>
      </x:c>
      <x:c r="C98" s="52" t="str">
        <x:v>Business &amp; Management</x:v>
      </x:c>
      <x:c r="D98" s="52" t="str">
        <x:v>Bachelor of Accounting</x:v>
      </x:c>
      <x:c r="E98" s="52"/>
      <x:c r="F98" s="52" t="n">
        <x:v>7</x:v>
      </x:c>
      <x:c r="G98" s="52" t="str">
        <x:v>Bachelor's Degree</x:v>
      </x:c>
      <x:c r="H98" s="52" t="str">
        <x:v>On campus / in-person (may include blended components)</x:v>
      </x:c>
      <x:c r="I98" s="52" t="str">
        <x:v>Yes — provider publishes international/on-campus availability</x:v>
      </x:c>
      <x:c r="J98" s="52" t="str">
        <x:v>Nelson; Marlborough</x:v>
      </x:c>
      <x:c r="K98" s="52" t="str">
        <x:v>3 years full time; 34 teaching weeks plus 6 weeks of study break per year</x:v>
      </x:c>
      <x:c r="L98" s="52"/>
      <x:c r="M98" s="52" t="str">
        <x:v>22 February 2027; 19 July 2027</x:v>
      </x:c>
      <x:c r="N98" s="52" t="str">
        <x:v>$26,576 per year (standard undergraduate band; verify programme-specific prospectus row)</x:v>
      </x:c>
      <x:c r="O98" s="52" t="str">
        <x:v>2026 international prospectus basis</x:v>
      </x:c>
      <x:c r="P98" s="52" t="str">
        <x:v>2026</x:v>
      </x:c>
      <x:c r="Q98" s="52" t="str">
        <x:v>Not published; 2026 fee shown only</x:v>
      </x:c>
      <x:c r="R98"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98" s="52" t="str">
        <x:v>for International Ākonga Web-page. Tūtukitanga Whakamihi | Credit Recognition Credit Recognition describes the provisions and procedures for the awarding of credit recognition and transfer, and recognition of prior learning that are applied in this programme.Credit Recognition and Transfer (CRT)Credit recognition and transfer (CRT) is a process where credit for outcomes already achieved by an applicant through formal study in relation to a qualification is recognised as credit for comparable outcomes in another qualification. Applicants may be awarded credits or exemptions in recognition of successful equivalent study, at the same or a higher</x:v>
      </x:c>
      <x:c r="T98" s="52"/>
      <x:c r="U98" s="52" t="str">
        <x:v>NMIT 2026 international study grants may apply; programme/country eligibility must be checked.</x:v>
      </x:c>
      <x:c r="V98" s="58" t="str">
        <x:v>https://www.nmit.ac.nz/study/programmes/bachelor-of-accounting</x:v>
      </x:c>
      <x:c r="W98" s="58" t="str">
        <x:v>https://www.nmit.ac.nz/assets/Uploads/Publications-and-brochures/Prospectus/NMIT-International-Prospectus-2026_Jul25-Web-V2.pdf</x:v>
      </x:c>
      <x:c r="X98" s="52" t="str">
        <x:v>2026-07-29</x:v>
      </x:c>
      <x:c r="Y98" s="52" t="str">
        <x:v>Double-checked: live programme page + official international source</x:v>
      </x:c>
      <x:c r="Z98" s="52" t="str">
        <x:v>Only programmes appearing in the 2026 international prospectus are included. Live page supplies the 2027 date.</x:v>
      </x:c>
      <x:c r="AA98" s="52"/>
      <x:c r="AB98" s="52" t="str">
        <x:v>Published by provider</x:v>
      </x:c>
      <x:c r="AC98" s="53" t="str">
        <x:v>22 February 2027; 19 July 2027</x:v>
      </x:c>
    </x:row>
    <x:row r="99" ht="48" customHeight="1">
      <x:c r="A99" s="45" t="str">
        <x:v>Nelson Marlborough Institute of Technology</x:v>
      </x:c>
      <x:c r="B99" s="46" t="str">
        <x:v>NMIT</x:v>
      </x:c>
      <x:c r="C99" s="46" t="str">
        <x:v>Business &amp; Management</x:v>
      </x:c>
      <x:c r="D99" s="46" t="str">
        <x:v>Graduate Certificate in Management</x:v>
      </x:c>
      <x:c r="E99" s="46"/>
      <x:c r="F99" s="46" t="n">
        <x:v>7</x:v>
      </x:c>
      <x:c r="G99" s="46" t="str">
        <x:v>Graduate Certificate</x:v>
      </x:c>
      <x:c r="H99" s="46" t="str">
        <x:v>On campus / in-person (may include blended components)</x:v>
      </x:c>
      <x:c r="I99" s="46" t="str">
        <x:v>Yes — provider publishes international/on-campus availability</x:v>
      </x:c>
      <x:c r="J99" s="46" t="str">
        <x:v>Nelson</x:v>
      </x:c>
      <x:c r="K99" s="46" t="str">
        <x:v>Full time: 17 teaching weeks plus 2 weeks of study break Part time: 34 teaching weeks plus 6 weeks of study break</x:v>
      </x:c>
      <x:c r="L99" s="46"/>
      <x:c r="M99" s="46" t="str">
        <x:v>22 February 2027; 19 July 2027</x:v>
      </x:c>
      <x:c r="N99" s="46" t="str">
        <x:v>$11,296</x:v>
      </x:c>
      <x:c r="O99" s="46" t="str">
        <x:v>2026 international prospectus basis</x:v>
      </x:c>
      <x:c r="P99" s="46" t="str">
        <x:v>2026</x:v>
      </x:c>
      <x:c r="Q99" s="46" t="str">
        <x:v>Not published; 2026 fee shown only</x:v>
      </x:c>
      <x:c r="R99"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99" s="46" t="str">
        <x:v>If English is not the applicant’s first language, applicants will need to provide a result from a test or qualification on the acceptable alternatives English Proficiency Outcomes Table(external link): IELTS 6.0 Academic (no lower than 5.5 in each band), Applicants who do not have evidence of English language skills and are a New Zealand citizen or permanent resident may contact NMIT for an assessment. IELTS 6.0 Academic (no lower than 5.5 in any subtest) IELTS scores used must be taken from a single IELTS Test Report Form and are valid for two years from the date of the test. Note: Applicants who have achieved NCEA Level 3 University Entranc</x:v>
      </x:c>
      <x:c r="T99" s="46"/>
      <x:c r="U99" s="46" t="str">
        <x:v>NMIT 2026 international study grants may apply; programme/country eligibility must be checked.</x:v>
      </x:c>
      <x:c r="V99" s="59" t="str">
        <x:v>https://www.nmit.ac.nz/study/programmes/graduate-certificate-in-management</x:v>
      </x:c>
      <x:c r="W99" s="59" t="str">
        <x:v>https://www.nmit.ac.nz/assets/Uploads/Publications-and-brochures/Prospectus/NMIT-International-Prospectus-2026_Jul25-Web-V2.pdf</x:v>
      </x:c>
      <x:c r="X99" s="46" t="str">
        <x:v>2026-07-29</x:v>
      </x:c>
      <x:c r="Y99" s="46" t="str">
        <x:v>Double-checked: live programme page + official international source</x:v>
      </x:c>
      <x:c r="Z99" s="46" t="str">
        <x:v>Only programmes appearing in the 2026 international prospectus are included. Live page supplies the 2027 date.</x:v>
      </x:c>
      <x:c r="AA99" s="46"/>
      <x:c r="AB99" s="46" t="str">
        <x:v>Published by provider</x:v>
      </x:c>
      <x:c r="AC99" s="47" t="str">
        <x:v>22 February 2027; 19 July 2027</x:v>
      </x:c>
    </x:row>
    <x:row r="100" ht="48" customHeight="1">
      <x:c r="A100" s="51" t="str">
        <x:v>Nelson Marlborough Institute of Technology</x:v>
      </x:c>
      <x:c r="B100" s="52" t="str">
        <x:v>NMIT</x:v>
      </x:c>
      <x:c r="C100" s="52" t="str">
        <x:v>Business &amp; Management</x:v>
      </x:c>
      <x:c r="D100" s="52" t="str">
        <x:v>Graduate Diploma in Accounting</x:v>
      </x:c>
      <x:c r="E100" s="52"/>
      <x:c r="F100" s="52" t="n">
        <x:v>7</x:v>
      </x:c>
      <x:c r="G100" s="52" t="str">
        <x:v>Graduate Diploma</x:v>
      </x:c>
      <x:c r="H100" s="52" t="str">
        <x:v>On campus / in-person (may include blended components)</x:v>
      </x:c>
      <x:c r="I100" s="52" t="str">
        <x:v>Yes — provider publishes international/on-campus availability</x:v>
      </x:c>
      <x:c r="J100" s="52" t="str">
        <x:v>Nelson</x:v>
      </x:c>
      <x:c r="K100" s="52" t="str">
        <x:v>Full time: 34 teaching weeks plus 6 weeks of study break or part-time equivalent</x:v>
      </x:c>
      <x:c r="L100" s="52"/>
      <x:c r="M100" s="52" t="str">
        <x:v>22 February 2027; 19 July 2027</x:v>
      </x:c>
      <x:c r="N100" s="52" t="str">
        <x:v>$26,576 per year (standard undergraduate band; verify programme-specific prospectus row)</x:v>
      </x:c>
      <x:c r="O100" s="52" t="str">
        <x:v>2026 international prospectus basis</x:v>
      </x:c>
      <x:c r="P100" s="52" t="str">
        <x:v>2026</x:v>
      </x:c>
      <x:c r="Q100" s="52" t="str">
        <x:v>Not published; 2026 fee shown only</x:v>
      </x:c>
      <x:c r="R100"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0" s="52" t="str">
        <x:v>If English is not the applicant’s first language, applicants will need to provide a result from a test or qualification on the acceptable alternatives English Proficiency Outcomes Table:(external link) IELTS 6.0 Academic (no lower than 5.5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IELTS scores used must be taken from a single IELTS Test Report Form and are valid for two years fr</x:v>
      </x:c>
      <x:c r="T100" s="52"/>
      <x:c r="U100" s="52" t="str">
        <x:v>NMIT 2026 international study grants may apply; programme/country eligibility must be checked.</x:v>
      </x:c>
      <x:c r="V100" s="58" t="str">
        <x:v>https://www.nmit.ac.nz/study/programmes/graduate-diploma-in-accounting</x:v>
      </x:c>
      <x:c r="W100" s="58" t="str">
        <x:v>https://www.nmit.ac.nz/assets/Uploads/Publications-and-brochures/Prospectus/NMIT-International-Prospectus-2026_Jul25-Web-V2.pdf</x:v>
      </x:c>
      <x:c r="X100" s="52" t="str">
        <x:v>2026-07-29</x:v>
      </x:c>
      <x:c r="Y100" s="52" t="str">
        <x:v>Double-checked: live programme page + official international source</x:v>
      </x:c>
      <x:c r="Z100" s="52" t="str">
        <x:v>Only programmes appearing in the 2026 international prospectus are included. Live page supplies the 2027 date.</x:v>
      </x:c>
      <x:c r="AA100" s="52"/>
      <x:c r="AB100" s="52" t="str">
        <x:v>Published by provider</x:v>
      </x:c>
      <x:c r="AC100" s="53" t="str">
        <x:v>22 February 2027; 19 July 2027</x:v>
      </x:c>
    </x:row>
    <x:row r="101" ht="48" customHeight="1">
      <x:c r="A101" s="45" t="str">
        <x:v>Nelson Marlborough Institute of Technology</x:v>
      </x:c>
      <x:c r="B101" s="46" t="str">
        <x:v>NMIT</x:v>
      </x:c>
      <x:c r="C101" s="46" t="str">
        <x:v>Business &amp; Management</x:v>
      </x:c>
      <x:c r="D101" s="46" t="str">
        <x:v>Graduate Diploma in Management</x:v>
      </x:c>
      <x:c r="E101" s="46"/>
      <x:c r="F101" s="46" t="n">
        <x:v>7</x:v>
      </x:c>
      <x:c r="G101" s="46" t="str">
        <x:v>Graduate Diploma</x:v>
      </x:c>
      <x:c r="H101" s="46" t="str">
        <x:v>On campus / in-person (may include blended components)</x:v>
      </x:c>
      <x:c r="I101" s="46" t="str">
        <x:v>Yes — provider publishes international/on-campus availability</x:v>
      </x:c>
      <x:c r="J101" s="46" t="str">
        <x:v>Nelson</x:v>
      </x:c>
      <x:c r="K101" s="46" t="str">
        <x:v>1 year full time (or equivalent part-time study); 34 teaching weeks plus 6 weeks of study break</x:v>
      </x:c>
      <x:c r="L101" s="46"/>
      <x:c r="M101" s="46" t="str">
        <x:v>22 February 2027; 19 July 2027</x:v>
      </x:c>
      <x:c r="N101" s="46" t="str">
        <x:v>$26,576 per year (standard undergraduate band; verify programme-specific prospectus row)</x:v>
      </x:c>
      <x:c r="O101" s="46" t="str">
        <x:v>2026 international prospectus basis</x:v>
      </x:c>
      <x:c r="P101" s="46" t="str">
        <x:v>2026</x:v>
      </x:c>
      <x:c r="Q101" s="46" t="str">
        <x:v>Not published; 2026 fee shown only</x:v>
      </x:c>
      <x:c r="R101"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1" s="46" t="str">
        <x:v>If English is not the applicant’s first language, applicants will need to provide a result from a test or qualification on the acceptable alternatives English Proficiency Outcomes Table:(external link) IELTS 6.0 Academic (no lower than 5.5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IELTS scores used must be taken from a single IELTS Test Report Form and are valid for two years fr</x:v>
      </x:c>
      <x:c r="T101" s="46"/>
      <x:c r="U101" s="46" t="str">
        <x:v>NMIT 2026 international study grants may apply; programme/country eligibility must be checked.</x:v>
      </x:c>
      <x:c r="V101" s="59" t="str">
        <x:v>https://www.nmit.ac.nz/study/programmes/graduate-diploma-in-management-2019</x:v>
      </x:c>
      <x:c r="W101" s="59" t="str">
        <x:v>https://www.nmit.ac.nz/assets/Uploads/Publications-and-brochures/Prospectus/NMIT-International-Prospectus-2026_Jul25-Web-V2.pdf</x:v>
      </x:c>
      <x:c r="X101" s="46" t="str">
        <x:v>2026-07-29</x:v>
      </x:c>
      <x:c r="Y101" s="46" t="str">
        <x:v>Double-checked: live programme page + official international source</x:v>
      </x:c>
      <x:c r="Z101" s="46" t="str">
        <x:v>Only programmes appearing in the 2026 international prospectus are included. Live page supplies the 2027 date.</x:v>
      </x:c>
      <x:c r="AA101" s="46"/>
      <x:c r="AB101" s="46" t="str">
        <x:v>Published by provider</x:v>
      </x:c>
      <x:c r="AC101" s="47" t="str">
        <x:v>22 February 2027; 19 July 2027</x:v>
      </x:c>
    </x:row>
    <x:row r="102" ht="48" customHeight="1">
      <x:c r="A102" s="51" t="str">
        <x:v>Nelson Marlborough Institute of Technology</x:v>
      </x:c>
      <x:c r="B102" s="52" t="str">
        <x:v>NMIT</x:v>
      </x:c>
      <x:c r="C102" s="52" t="str">
        <x:v>Computing &amp; IT</x:v>
      </x:c>
      <x:c r="D102" s="52" t="str">
        <x:v>Bachelor of Computer Generated Imagery</x:v>
      </x:c>
      <x:c r="E102" s="52"/>
      <x:c r="F102" s="52" t="n">
        <x:v>7</x:v>
      </x:c>
      <x:c r="G102" s="52" t="str">
        <x:v>Bachelor's Degree</x:v>
      </x:c>
      <x:c r="H102" s="52" t="str">
        <x:v>On campus / in-person (may include blended components)</x:v>
      </x:c>
      <x:c r="I102" s="52" t="str">
        <x:v>Yes — provider publishes international/on-campus availability</x:v>
      </x:c>
      <x:c r="J102" s="52" t="str">
        <x:v>Nelson</x:v>
      </x:c>
      <x:c r="K102" s="52" t="str">
        <x:v>3 years full time; 34 teaching weeks plus 6 weeks of study break per year</x:v>
      </x:c>
      <x:c r="L102" s="52"/>
      <x:c r="M102" s="52" t="str">
        <x:v>22 February 2027; 19 July 2027</x:v>
      </x:c>
      <x:c r="N102" s="52" t="str">
        <x:v>$26,576 per year (standard undergraduate band; verify programme-specific prospectus row)</x:v>
      </x:c>
      <x:c r="O102" s="52" t="str">
        <x:v>2026 international prospectus basis</x:v>
      </x:c>
      <x:c r="P102" s="52" t="str">
        <x:v>2026</x:v>
      </x:c>
      <x:c r="Q102" s="52" t="str">
        <x:v>Not published; 2026 fee shown only</x:v>
      </x:c>
      <x:c r="R102"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2" s="52" t="str">
        <x:v>If English is not the applicant’s first language, applicants will need to provide a result from a test or qualification on the acceptable alternatives English Proficiency Outcomes(external link). IELTS 6.0 Academic (no lower than 5.5 in each band) Note: Applicants who do not have evidence of English language skills and are a New Zealand citizen or permanent resident, may contact NMIT for an assessmentApplicants who have achieved NCEA Level 3 University Entrance requirements are not required to provide evidence of English language skillsIELTS scores used must be taken from a single IELTS Test Report Form and are valid for two years from the da</x:v>
      </x:c>
      <x:c r="T102" s="52"/>
      <x:c r="U102" s="52" t="str">
        <x:v>NMIT 2026 international study grants may apply; programme/country eligibility must be checked.</x:v>
      </x:c>
      <x:c r="V102" s="58" t="str">
        <x:v>https://www.nmit.ac.nz/study/programmes/bachelor-of-computer-generated-imagery</x:v>
      </x:c>
      <x:c r="W102" s="58" t="str">
        <x:v>https://www.nmit.ac.nz/assets/Uploads/Publications-and-brochures/Prospectus/NMIT-International-Prospectus-2026_Jul25-Web-V2.pdf</x:v>
      </x:c>
      <x:c r="X102" s="52" t="str">
        <x:v>2026-07-29</x:v>
      </x:c>
      <x:c r="Y102" s="52" t="str">
        <x:v>Double-checked: live programme page + official international source</x:v>
      </x:c>
      <x:c r="Z102" s="52" t="str">
        <x:v>Only programmes appearing in the 2026 international prospectus are included. Live page supplies the 2027 date.</x:v>
      </x:c>
      <x:c r="AA102" s="52"/>
      <x:c r="AB102" s="52" t="str">
        <x:v>Published by provider</x:v>
      </x:c>
      <x:c r="AC102" s="53" t="str">
        <x:v>22 February 2027; 19 July 2027</x:v>
      </x:c>
    </x:row>
    <x:row r="103" ht="48" customHeight="1">
      <x:c r="A103" s="45" t="str">
        <x:v>Nelson Marlborough Institute of Technology</x:v>
      </x:c>
      <x:c r="B103" s="46" t="str">
        <x:v>NMIT</x:v>
      </x:c>
      <x:c r="C103" s="46" t="str">
        <x:v>Computing &amp; IT</x:v>
      </x:c>
      <x:c r="D103" s="46" t="str">
        <x:v>Bachelor of Information Technology</x:v>
      </x:c>
      <x:c r="E103" s="46"/>
      <x:c r="F103" s="46" t="n">
        <x:v>7</x:v>
      </x:c>
      <x:c r="G103" s="46" t="str">
        <x:v>Bachelor's Degree</x:v>
      </x:c>
      <x:c r="H103" s="46" t="str">
        <x:v>On campus / in-person (may include blended components)</x:v>
      </x:c>
      <x:c r="I103" s="46" t="str">
        <x:v>Yes — provider publishes international/on-campus availability</x:v>
      </x:c>
      <x:c r="J103" s="46" t="str">
        <x:v>Nelson</x:v>
      </x:c>
      <x:c r="K103" s="46" t="str">
        <x:v>3 years full time; 36 teaching weeks and 6 weeks of study break per year</x:v>
      </x:c>
      <x:c r="L103" s="46"/>
      <x:c r="M103" s="46" t="str">
        <x:v>22 February 2027; 19 July 2027</x:v>
      </x:c>
      <x:c r="N103" s="46" t="str">
        <x:v>$26,576 per year (standard undergraduate band; verify programme-specific prospectus row)</x:v>
      </x:c>
      <x:c r="O103" s="46" t="str">
        <x:v>2026 international prospectus basis</x:v>
      </x:c>
      <x:c r="P103" s="46" t="str">
        <x:v>2026</x:v>
      </x:c>
      <x:c r="Q103" s="46" t="str">
        <x:v>Not published; 2026 fee shown only</x:v>
      </x:c>
      <x:c r="R103"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3" s="46" t="str">
        <x:v>If English is not the applicant’s first language, applicants will need to provide a result from a test or qualification on the acceptable alternatives English Proficiency Outcomes Table(external link): IELTS 6.0 Academic (no lower than 5.5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IELTS scores used must be taken from a single IELTS Test Report Form and are valid for two years fr</x:v>
      </x:c>
      <x:c r="T103" s="46"/>
      <x:c r="U103" s="46" t="str">
        <x:v>NMIT 2026 international study grants may apply; programme/country eligibility must be checked.</x:v>
      </x:c>
      <x:c r="V103" s="59" t="str">
        <x:v>https://www.nmit.ac.nz/study/programmes/bachelor-of-information-technology</x:v>
      </x:c>
      <x:c r="W103" s="59" t="str">
        <x:v>https://www.nmit.ac.nz/assets/Uploads/Publications-and-brochures/Prospectus/NMIT-International-Prospectus-2026_Jul25-Web-V2.pdf</x:v>
      </x:c>
      <x:c r="X103" s="46" t="str">
        <x:v>2026-07-29</x:v>
      </x:c>
      <x:c r="Y103" s="46" t="str">
        <x:v>Double-checked: live programme page + official international source</x:v>
      </x:c>
      <x:c r="Z103" s="46" t="str">
        <x:v>Only programmes appearing in the 2026 international prospectus are included. Live page supplies the 2027 date.</x:v>
      </x:c>
      <x:c r="AA103" s="46"/>
      <x:c r="AB103" s="46" t="str">
        <x:v>Published by provider</x:v>
      </x:c>
      <x:c r="AC103" s="47" t="str">
        <x:v>22 February 2027; 19 July 2027</x:v>
      </x:c>
    </x:row>
    <x:row r="104" ht="48" customHeight="1">
      <x:c r="A104" s="51" t="str">
        <x:v>Nelson Marlborough Institute of Technology</x:v>
      </x:c>
      <x:c r="B104" s="52" t="str">
        <x:v>NMIT</x:v>
      </x:c>
      <x:c r="C104" s="52" t="str">
        <x:v>Creative Arts &amp; Media</x:v>
      </x:c>
      <x:c r="D104" s="52" t="str">
        <x:v>Bachelor of Arts and Media</x:v>
      </x:c>
      <x:c r="E104" s="52"/>
      <x:c r="F104" s="52" t="n">
        <x:v>7</x:v>
      </x:c>
      <x:c r="G104" s="52" t="str">
        <x:v>Bachelor's Degree</x:v>
      </x:c>
      <x:c r="H104" s="52" t="str">
        <x:v>On campus / in-person (may include blended components)</x:v>
      </x:c>
      <x:c r="I104" s="52" t="str">
        <x:v>Yes — provider publishes international/on-campus availability</x:v>
      </x:c>
      <x:c r="J104" s="52" t="str">
        <x:v>Nelson</x:v>
      </x:c>
      <x:c r="K104" s="52" t="str">
        <x:v>3 years full time; 34 teaching weeks plus 6 weeks of study break per year</x:v>
      </x:c>
      <x:c r="L104" s="52"/>
      <x:c r="M104" s="52" t="str">
        <x:v>22 February 2027; 19 July 2027</x:v>
      </x:c>
      <x:c r="N104" s="52" t="str">
        <x:v>$26,576 per year (standard undergraduate band; verify programme-specific prospectus row)</x:v>
      </x:c>
      <x:c r="O104" s="52" t="str">
        <x:v>2026 international prospectus basis</x:v>
      </x:c>
      <x:c r="P104" s="52" t="str">
        <x:v>2026</x:v>
      </x:c>
      <x:c r="Q104" s="52" t="str">
        <x:v>Not published; 2026 fee shown only</x:v>
      </x:c>
      <x:c r="R104"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4" s="52" t="str">
        <x:v>If English is not the applicant’s first language, applicants will need to provide a result from a test or qualification on the acceptable alternatives English Proficiency Outcomes.(external link) IELTS 6.0 Academic (no lower than 5.5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 IELTS scores used must be taken from a single IELTS Test Report Form and are valid for two years from t</x:v>
      </x:c>
      <x:c r="T104" s="52"/>
      <x:c r="U104" s="52" t="str">
        <x:v>NMIT 2026 international study grants may apply; programme/country eligibility must be checked.</x:v>
      </x:c>
      <x:c r="V104" s="58" t="str">
        <x:v>https://www.nmit.ac.nz/study/programmes/bachelor-of-arts-and-media</x:v>
      </x:c>
      <x:c r="W104" s="58" t="str">
        <x:v>https://www.nmit.ac.nz/assets/Uploads/Publications-and-brochures/Prospectus/NMIT-International-Prospectus-2026_Jul25-Web-V2.pdf</x:v>
      </x:c>
      <x:c r="X104" s="52" t="str">
        <x:v>2026-07-29</x:v>
      </x:c>
      <x:c r="Y104" s="52" t="str">
        <x:v>Double-checked: live programme page + official international source</x:v>
      </x:c>
      <x:c r="Z104" s="52" t="str">
        <x:v>Only programmes appearing in the 2026 international prospectus are included. Live page supplies the 2027 date.</x:v>
      </x:c>
      <x:c r="AA104" s="52"/>
      <x:c r="AB104" s="52" t="str">
        <x:v>Published by provider</x:v>
      </x:c>
      <x:c r="AC104" s="53" t="str">
        <x:v>22 February 2027; 19 July 2027</x:v>
      </x:c>
    </x:row>
    <x:row r="105" ht="48" customHeight="1">
      <x:c r="A105" s="45" t="str">
        <x:v>Nelson Marlborough Institute of Technology</x:v>
      </x:c>
      <x:c r="B105" s="46" t="str">
        <x:v>NMIT</x:v>
      </x:c>
      <x:c r="C105" s="46" t="str">
        <x:v>Creative Arts &amp; Media</x:v>
      </x:c>
      <x:c r="D105" s="46" t="str">
        <x:v>New Zealand Diploma in Animation (Level 6)</x:v>
      </x:c>
      <x:c r="E105" s="46"/>
      <x:c r="F105" s="46" t="n">
        <x:v>6</x:v>
      </x:c>
      <x:c r="G105" s="46" t="str">
        <x:v>Diploma</x:v>
      </x:c>
      <x:c r="H105" s="46" t="str">
        <x:v>On campus / in-person (may include blended components)</x:v>
      </x:c>
      <x:c r="I105" s="46" t="str">
        <x:v>Yes — provider publishes international/on-campus availability</x:v>
      </x:c>
      <x:c r="J105" s="46" t="str">
        <x:v>Nelson</x:v>
      </x:c>
      <x:c r="K105" s="46" t="str">
        <x:v>34 teaching weeks plus 6 weeks of study break</x:v>
      </x:c>
      <x:c r="L105" s="46"/>
      <x:c r="M105" s="46" t="str">
        <x:v>22 February 2027; 19 July 2027</x:v>
      </x:c>
      <x:c r="N105" s="46" t="str">
        <x:v>$26,576 per year (standard undergraduate band; verify programme-specific prospectus row)</x:v>
      </x:c>
      <x:c r="O105" s="46" t="str">
        <x:v>2026 international prospectus basis</x:v>
      </x:c>
      <x:c r="P105" s="46" t="str">
        <x:v>2026</x:v>
      </x:c>
      <x:c r="Q105" s="46" t="str">
        <x:v>Not published; 2026 fee shown only</x:v>
      </x:c>
      <x:c r="R105"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5" s="46" t="str">
        <x:v>If English is not the applicant’s first language, applicants will need to provide a result from a test or qualification on the acceptable alternatives English Proficiency Outcomes Table(external link): IELTS 6.0 Academic (no lower than 5.5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IELTS scores used must be taken from a single IELTS Test Report Form and are valid for two years fr</x:v>
      </x:c>
      <x:c r="T105" s="46"/>
      <x:c r="U105" s="46" t="str">
        <x:v>NMIT 2026 international study grants may apply; programme/country eligibility must be checked.</x:v>
      </x:c>
      <x:c r="V105" s="59" t="str">
        <x:v>https://www.nmit.ac.nz/study/programmes/new-zealand-diploma-in-animation-level-6</x:v>
      </x:c>
      <x:c r="W105" s="59" t="str">
        <x:v>https://www.nmit.ac.nz/assets/Uploads/Publications-and-brochures/Prospectus/NMIT-International-Prospectus-2026_Jul25-Web-V2.pdf</x:v>
      </x:c>
      <x:c r="X105" s="46" t="str">
        <x:v>2026-07-29</x:v>
      </x:c>
      <x:c r="Y105" s="46" t="str">
        <x:v>Double-checked: live programme page + official international source</x:v>
      </x:c>
      <x:c r="Z105" s="46" t="str">
        <x:v>Only programmes appearing in the 2026 international prospectus are included. Live page supplies the 2027 date.</x:v>
      </x:c>
      <x:c r="AA105" s="46"/>
      <x:c r="AB105" s="46" t="str">
        <x:v>Published by provider</x:v>
      </x:c>
      <x:c r="AC105" s="47" t="str">
        <x:v>22 February 2027; 19 July 2027</x:v>
      </x:c>
    </x:row>
    <x:row r="106" ht="48" customHeight="1">
      <x:c r="A106" s="51" t="str">
        <x:v>Nelson Marlborough Institute of Technology</x:v>
      </x:c>
      <x:c r="B106" s="52" t="str">
        <x:v>NMIT</x:v>
      </x:c>
      <x:c r="C106" s="52" t="str">
        <x:v>Creative Arts &amp; Media</x:v>
      </x:c>
      <x:c r="D106" s="52" t="str">
        <x:v>New Zealand Diploma in Arts and Design (Level 6)</x:v>
      </x:c>
      <x:c r="E106" s="52"/>
      <x:c r="F106" s="52" t="n">
        <x:v>6</x:v>
      </x:c>
      <x:c r="G106" s="52" t="str">
        <x:v>Diploma</x:v>
      </x:c>
      <x:c r="H106" s="52" t="str">
        <x:v>On campus / in-person (may include blended components)</x:v>
      </x:c>
      <x:c r="I106" s="52" t="str">
        <x:v>Yes — provider publishes international/on-campus availability</x:v>
      </x:c>
      <x:c r="J106" s="52" t="str">
        <x:v>Nelson</x:v>
      </x:c>
      <x:c r="K106" s="52" t="str">
        <x:v>34 teaching weeks plus 6 weeks of study break</x:v>
      </x:c>
      <x:c r="L106" s="52"/>
      <x:c r="M106" s="52" t="str">
        <x:v>22 February 2027; 19 July 2027</x:v>
      </x:c>
      <x:c r="N106" s="52" t="str">
        <x:v>$26,576 per year (standard undergraduate band; verify programme-specific prospectus row)</x:v>
      </x:c>
      <x:c r="O106" s="52" t="str">
        <x:v>2026 international prospectus basis</x:v>
      </x:c>
      <x:c r="P106" s="52" t="str">
        <x:v>2026</x:v>
      </x:c>
      <x:c r="Q106" s="52" t="str">
        <x:v>Not published; 2026 fee shown only</x:v>
      </x:c>
      <x:c r="R106"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6" s="52"/>
      <x:c r="T106" s="52"/>
      <x:c r="U106" s="52" t="str">
        <x:v>NMIT 2026 international study grants may apply; programme/country eligibility must be checked.</x:v>
      </x:c>
      <x:c r="V106" s="58" t="str">
        <x:v>https://www.nmit.ac.nz/study/programmes/arts-and-design-level-6</x:v>
      </x:c>
      <x:c r="W106" s="58" t="str">
        <x:v>https://www.nmit.ac.nz/assets/Uploads/Publications-and-brochures/Prospectus/NMIT-International-Prospectus-2026_Jul25-Web-V2.pdf</x:v>
      </x:c>
      <x:c r="X106" s="52" t="str">
        <x:v>2026-07-29</x:v>
      </x:c>
      <x:c r="Y106" s="52" t="str">
        <x:v>Double-checked: live programme page + official international source</x:v>
      </x:c>
      <x:c r="Z106" s="52" t="str">
        <x:v>Only programmes appearing in the 2026 international prospectus are included. Live page supplies the 2027 date.</x:v>
      </x:c>
      <x:c r="AA106" s="52"/>
      <x:c r="AB106" s="52" t="str">
        <x:v>Published by provider</x:v>
      </x:c>
      <x:c r="AC106" s="53" t="str">
        <x:v>22 February 2027; 19 July 2027</x:v>
      </x:c>
    </x:row>
    <x:row r="107" ht="48" customHeight="1">
      <x:c r="A107" s="45" t="str">
        <x:v>Nelson Marlborough Institute of Technology</x:v>
      </x:c>
      <x:c r="B107" s="46" t="str">
        <x:v>NMIT</x:v>
      </x:c>
      <x:c r="C107" s="46" t="str">
        <x:v>Creative Arts &amp; Media</x:v>
      </x:c>
      <x:c r="D107" s="46" t="str">
        <x:v>New Zealand Diploma in Animation (Level 5)</x:v>
      </x:c>
      <x:c r="E107" s="46"/>
      <x:c r="F107" s="46" t="n">
        <x:v>5</x:v>
      </x:c>
      <x:c r="G107" s="46" t="str">
        <x:v>Diploma</x:v>
      </x:c>
      <x:c r="H107" s="46" t="str">
        <x:v>On campus / in-person (may include blended components)</x:v>
      </x:c>
      <x:c r="I107" s="46" t="str">
        <x:v>Yes — provider publishes international/on-campus availability</x:v>
      </x:c>
      <x:c r="J107" s="46" t="str">
        <x:v>Nelson</x:v>
      </x:c>
      <x:c r="K107" s="46" t="str">
        <x:v>34 teaching weeks plus 6 weeks of study break</x:v>
      </x:c>
      <x:c r="L107" s="46"/>
      <x:c r="M107" s="46" t="str">
        <x:v>22 February 2027; 19 July 2027</x:v>
      </x:c>
      <x:c r="N107" s="46" t="str">
        <x:v>$26,576 per year (standard undergraduate band; verify programme-specific prospectus row)</x:v>
      </x:c>
      <x:c r="O107" s="46" t="str">
        <x:v>2026 international prospectus basis</x:v>
      </x:c>
      <x:c r="P107" s="46" t="str">
        <x:v>2026</x:v>
      </x:c>
      <x:c r="Q107" s="46" t="str">
        <x:v>Not published; 2026 fee shown only</x:v>
      </x:c>
      <x:c r="R107"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7" s="46" t="str">
        <x:v>If English is not the applicant’s first language, applicants will need to provide a result from a test or qualification on the acceptable alternatives English Proficiency Outcomes Table(external link): IELTS 6.0 Academic (no lower than 5.5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IELTS scores used must be taken from a single IELTS Test Report Form and are valid for two years fr</x:v>
      </x:c>
      <x:c r="T107" s="46"/>
      <x:c r="U107" s="46" t="str">
        <x:v>NMIT 2026 international study grants may apply; programme/country eligibility must be checked.</x:v>
      </x:c>
      <x:c r="V107" s="59" t="str">
        <x:v>https://www.nmit.ac.nz/study/programmes/new-zealand-diploma-in-animation-level-5</x:v>
      </x:c>
      <x:c r="W107" s="59" t="str">
        <x:v>https://www.nmit.ac.nz/assets/Uploads/Publications-and-brochures/Prospectus/NMIT-International-Prospectus-2026_Jul25-Web-V2.pdf</x:v>
      </x:c>
      <x:c r="X107" s="46" t="str">
        <x:v>2026-07-29</x:v>
      </x:c>
      <x:c r="Y107" s="46" t="str">
        <x:v>Double-checked: live programme page + official international source</x:v>
      </x:c>
      <x:c r="Z107" s="46" t="str">
        <x:v>Only programmes appearing in the 2026 international prospectus are included. Live page supplies the 2027 date.</x:v>
      </x:c>
      <x:c r="AA107" s="46"/>
      <x:c r="AB107" s="46" t="str">
        <x:v>Published by provider</x:v>
      </x:c>
      <x:c r="AC107" s="47" t="str">
        <x:v>22 February 2027; 19 July 2027</x:v>
      </x:c>
    </x:row>
    <x:row r="108" ht="48" customHeight="1">
      <x:c r="A108" s="51" t="str">
        <x:v>Nelson Marlborough Institute of Technology</x:v>
      </x:c>
      <x:c r="B108" s="52" t="str">
        <x:v>NMIT</x:v>
      </x:c>
      <x:c r="C108" s="52" t="str">
        <x:v>Creative Arts &amp; Media</x:v>
      </x:c>
      <x:c r="D108" s="52" t="str">
        <x:v>New Zealand Diploma in Arts and Design (Level 5)</x:v>
      </x:c>
      <x:c r="E108" s="52"/>
      <x:c r="F108" s="52" t="n">
        <x:v>5</x:v>
      </x:c>
      <x:c r="G108" s="52" t="str">
        <x:v>Diploma</x:v>
      </x:c>
      <x:c r="H108" s="52" t="str">
        <x:v>On campus / in-person (may include blended components)</x:v>
      </x:c>
      <x:c r="I108" s="52" t="str">
        <x:v>Yes — provider publishes international/on-campus availability</x:v>
      </x:c>
      <x:c r="J108" s="52" t="str">
        <x:v>Nelson</x:v>
      </x:c>
      <x:c r="K108" s="52" t="str">
        <x:v>34 teaching weeks plus 6 weeks of study break</x:v>
      </x:c>
      <x:c r="L108" s="52"/>
      <x:c r="M108" s="52" t="str">
        <x:v>22 February 2027; 19 July 2027</x:v>
      </x:c>
      <x:c r="N108" s="52" t="str">
        <x:v>$26,576 per year (standard undergraduate band; verify programme-specific prospectus row)</x:v>
      </x:c>
      <x:c r="O108" s="52" t="str">
        <x:v>2026 international prospectus basis</x:v>
      </x:c>
      <x:c r="P108" s="52" t="str">
        <x:v>2026</x:v>
      </x:c>
      <x:c r="Q108" s="52" t="str">
        <x:v>Not published; 2026 fee shown only</x:v>
      </x:c>
      <x:c r="R108"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8" s="52" t="str">
        <x:v>If English is not the applicant’s first language, applicants will need to provide a result from a test or qualification on the acceptable alternatives English Proficiency Outcomes Table(external link): IELTS 6.0 Academic (no lower than 5.5 in each band), Note: Applicants who do not have evidence of English language skills and are New Zealand citizens or permanent residents may contact NMIT for an assessment. Applicants who have achieved NCEA Level 3 University Entrance requirements are not required to provide evidence of English language skills. IELTS scores used must be taken from a single IELTS Test Report Form and are valid for two years f</x:v>
      </x:c>
      <x:c r="T108" s="52"/>
      <x:c r="U108" s="52" t="str">
        <x:v>NMIT 2026 international study grants may apply; programme/country eligibility must be checked.</x:v>
      </x:c>
      <x:c r="V108" s="58" t="str">
        <x:v>https://www.nmit.ac.nz/study/programmes/new-zealand-diploma-in-arts-and-design-level-5</x:v>
      </x:c>
      <x:c r="W108" s="58" t="str">
        <x:v>https://www.nmit.ac.nz/assets/Uploads/Publications-and-brochures/Prospectus/NMIT-International-Prospectus-2026_Jul25-Web-V2.pdf</x:v>
      </x:c>
      <x:c r="X108" s="52" t="str">
        <x:v>2026-07-29</x:v>
      </x:c>
      <x:c r="Y108" s="52" t="str">
        <x:v>Double-checked: live programme page + official international source</x:v>
      </x:c>
      <x:c r="Z108" s="52" t="str">
        <x:v>Only programmes appearing in the 2026 international prospectus are included. Live page supplies the 2027 date.</x:v>
      </x:c>
      <x:c r="AA108" s="52"/>
      <x:c r="AB108" s="52" t="str">
        <x:v>Published by provider</x:v>
      </x:c>
      <x:c r="AC108" s="53" t="str">
        <x:v>22 February 2027; 19 July 2027</x:v>
      </x:c>
    </x:row>
    <x:row r="109" ht="48" customHeight="1">
      <x:c r="A109" s="45" t="str">
        <x:v>Nelson Marlborough Institute of Technology</x:v>
      </x:c>
      <x:c r="B109" s="46" t="str">
        <x:v>NMIT</x:v>
      </x:c>
      <x:c r="C109" s="46" t="str">
        <x:v>Education &amp; Social Services</x:v>
      </x:c>
      <x:c r="D109" s="46" t="str">
        <x:v>Bachelor of Social Work</x:v>
      </x:c>
      <x:c r="E109" s="46"/>
      <x:c r="F109" s="46" t="n">
        <x:v>7</x:v>
      </x:c>
      <x:c r="G109" s="46" t="str">
        <x:v>Bachelor's Degree</x:v>
      </x:c>
      <x:c r="H109" s="46" t="str">
        <x:v>On campus / in-person (may include blended components)</x:v>
      </x:c>
      <x:c r="I109" s="46" t="str">
        <x:v>Yes — provider publishes international/on-campus availability</x:v>
      </x:c>
      <x:c r="J109" s="46" t="str">
        <x:v>Nelson</x:v>
      </x:c>
      <x:c r="K109" s="46" t="str">
        <x:v>4 years full time: 35 teaching weeks plus 6 weeks of study break. Part-time study is available; students may take up to a maximum of 8 years to complete this programme.</x:v>
      </x:c>
      <x:c r="L109" s="46"/>
      <x:c r="M109" s="46" t="str">
        <x:v>15 February 2027</x:v>
      </x:c>
      <x:c r="N109" s="46" t="str">
        <x:v>$26,576 per year (standard undergraduate band; verify programme-specific prospectus row)</x:v>
      </x:c>
      <x:c r="O109" s="46" t="str">
        <x:v>2026 international prospectus basis</x:v>
      </x:c>
      <x:c r="P109" s="46" t="str">
        <x:v>2026</x:v>
      </x:c>
      <x:c r="Q109" s="46" t="str">
        <x:v>Not published; 2026 fee shown only</x:v>
      </x:c>
      <x:c r="R109"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09" s="46" t="str">
        <x:v>All students who do not have English, Māori or New Zealand sign language as their primary language demonstrate either: IELTS academic score of 6.5 academic no band score lower than 6.5, OR TOEFL Internet-based test (iBT) score of 85 or higher with a writing score of 22. These tests must have been completed in one sitting within the previous 2 years. Social Workers Registration Board Policies(external link) Other requirements 1) Candidates must meet the SWRB Fit and Proper criteria for entry. A candidate may be deemed unfit if: a. That person is unable to perform adequately the functions required to practice social work satisfactorily;b. That </x:v>
      </x:c>
      <x:c r="T109" s="46"/>
      <x:c r="U109" s="46" t="str">
        <x:v>NMIT 2026 international study grants may apply; programme/country eligibility must be checked.</x:v>
      </x:c>
      <x:c r="V109" s="59" t="str">
        <x:v>https://www.nmit.ac.nz/study/programmes/bachelor-of-social-work</x:v>
      </x:c>
      <x:c r="W109" s="59" t="str">
        <x:v>https://www.nmit.ac.nz/assets/Uploads/Publications-and-brochures/Prospectus/NMIT-International-Prospectus-2026_Jul25-Web-V2.pdf</x:v>
      </x:c>
      <x:c r="X109" s="46" t="str">
        <x:v>2026-07-29</x:v>
      </x:c>
      <x:c r="Y109" s="46" t="str">
        <x:v>Double-checked: live programme page + official international source</x:v>
      </x:c>
      <x:c r="Z109" s="46" t="str">
        <x:v>Only programmes appearing in the 2026 international prospectus are included. Live page supplies the 2027 date.</x:v>
      </x:c>
      <x:c r="AA109" s="46"/>
      <x:c r="AB109" s="46" t="str">
        <x:v>Published by provider</x:v>
      </x:c>
      <x:c r="AC109" s="47" t="str">
        <x:v>15 February 2027</x:v>
      </x:c>
    </x:row>
    <x:row r="110" ht="48" customHeight="1">
      <x:c r="A110" s="51" t="str">
        <x:v>Nelson Marlborough Institute of Technology</x:v>
      </x:c>
      <x:c r="B110" s="52" t="str">
        <x:v>NMIT</x:v>
      </x:c>
      <x:c r="C110" s="52" t="str">
        <x:v>Engineering</x:v>
      </x:c>
      <x:c r="D110" s="52" t="str">
        <x:v>New Zealand Diploma in Engineering (Level 6) (Civil Engineering)</x:v>
      </x:c>
      <x:c r="E110" s="52"/>
      <x:c r="F110" s="52" t="n">
        <x:v>6</x:v>
      </x:c>
      <x:c r="G110" s="52" t="str">
        <x:v>Diploma</x:v>
      </x:c>
      <x:c r="H110" s="52" t="str">
        <x:v>On campus / in-person (may include blended components)</x:v>
      </x:c>
      <x:c r="I110" s="52" t="str">
        <x:v>Yes — provider publishes international/on-campus availability</x:v>
      </x:c>
      <x:c r="J110" s="52" t="str">
        <x:v>Nelson</x:v>
      </x:c>
      <x:c r="K110" s="52" t="str">
        <x:v>2 years full time (34 teaching weeks plus 6 study break weeks per year) or part-time study over 4 years</x:v>
      </x:c>
      <x:c r="L110" s="52"/>
      <x:c r="M110" s="52" t="str">
        <x:v>15 February 2027</x:v>
      </x:c>
      <x:c r="N110" s="52" t="str">
        <x:v>$26,576 per year (standard undergraduate band; verify programme-specific prospectus row)</x:v>
      </x:c>
      <x:c r="O110" s="52" t="str">
        <x:v>2026 international prospectus basis</x:v>
      </x:c>
      <x:c r="P110" s="52" t="str">
        <x:v>2026</x:v>
      </x:c>
      <x:c r="Q110" s="52" t="str">
        <x:v>Not published; 2026 fee shown only</x:v>
      </x:c>
      <x:c r="R110"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0" s="52" t="str">
        <x:v>In addition to meeting the minimum entry criteria, those applicants for whom English is a second language (including International students) must meet the IELTS overall language requirement: Overall Band Score (Academic) of 6.0 IELTS, with no individual score less than 5.5, or equivalent. Additional course costs Your main need will be a good calculator. You may also be required to purchase a number of text books - so be prepared and budget accordingly. What will I learn? On this programme you will learn how to: Competently perform technical operations to the standards, ethical and professional responsibilities required by the engineering prof</x:v>
      </x:c>
      <x:c r="T110" s="52"/>
      <x:c r="U110" s="52" t="str">
        <x:v>NMIT 2026 international study grants may apply; programme/country eligibility must be checked.</x:v>
      </x:c>
      <x:c r="V110" s="58" t="str">
        <x:v>https://www.nmit.ac.nz/study/programmes/new-zealand-diploma-in-engineering-civil-engineering</x:v>
      </x:c>
      <x:c r="W110" s="58" t="str">
        <x:v>https://www.nmit.ac.nz/assets/Uploads/Publications-and-brochures/Prospectus/NMIT-International-Prospectus-2026_Jul25-Web-V2.pdf</x:v>
      </x:c>
      <x:c r="X110" s="52" t="str">
        <x:v>2026-07-29</x:v>
      </x:c>
      <x:c r="Y110" s="52" t="str">
        <x:v>Double-checked: live programme page + official international source</x:v>
      </x:c>
      <x:c r="Z110" s="52" t="str">
        <x:v>Only programmes appearing in the 2026 international prospectus are included. Live page supplies the 2027 date.</x:v>
      </x:c>
      <x:c r="AA110" s="52"/>
      <x:c r="AB110" s="52" t="str">
        <x:v>Published by provider</x:v>
      </x:c>
      <x:c r="AC110" s="53" t="str">
        <x:v>15 February 2027</x:v>
      </x:c>
    </x:row>
    <x:row r="111" ht="48" customHeight="1">
      <x:c r="A111" s="45" t="str">
        <x:v>Nelson Marlborough Institute of Technology</x:v>
      </x:c>
      <x:c r="B111" s="46" t="str">
        <x:v>NMIT</x:v>
      </x:c>
      <x:c r="C111" s="46" t="str">
        <x:v>Engineering</x:v>
      </x:c>
      <x:c r="D111" s="46" t="str">
        <x:v>New Zealand Certificate in Aeronautical Engineering (Level 4)</x:v>
      </x:c>
      <x:c r="E111" s="46"/>
      <x:c r="F111" s="46" t="n">
        <x:v>4</x:v>
      </x:c>
      <x:c r="G111" s="46" t="str">
        <x:v>Certificate</x:v>
      </x:c>
      <x:c r="H111" s="46" t="str">
        <x:v>On campus / in-person (may include blended components)</x:v>
      </x:c>
      <x:c r="I111" s="46" t="str">
        <x:v>Yes — provider publishes international/on-campus availability</x:v>
      </x:c>
      <x:c r="J111" s="46" t="str">
        <x:v>Nelson; Woodbourne</x:v>
      </x:c>
      <x:c r="K111" s="46" t="str">
        <x:v>1 year full time</x:v>
      </x:c>
      <x:c r="L111" s="46"/>
      <x:c r="M111" s="46" t="str">
        <x:v>15 February 2027; 19 July 2027</x:v>
      </x:c>
      <x:c r="N111" s="46" t="str">
        <x:v>$26,576 per year (standard undergraduate band; verify programme-specific prospectus row)</x:v>
      </x:c>
      <x:c r="O111" s="46" t="str">
        <x:v>2026 international prospectus basis</x:v>
      </x:c>
      <x:c r="P111" s="46" t="str">
        <x:v>2026</x:v>
      </x:c>
      <x:c r="Q111" s="46" t="str">
        <x:v>Not published; 2026 fee shown only</x:v>
      </x:c>
      <x:c r="R111"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1" s="46" t="str">
        <x:v>If English is not the applicant’s first language, applicants will need to provide a result from a test or qualification on the acceptable alternatives English Proficiency Outcomes Table(external link): IELTS General or Academic score of 5.5 (not less than 5.0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IELTS scores used must be taken from a single IELTS Test Report Form and are va</x:v>
      </x:c>
      <x:c r="T111" s="46"/>
      <x:c r="U111" s="46" t="str">
        <x:v>NMIT 2026 international study grants may apply; programme/country eligibility must be checked.</x:v>
      </x:c>
      <x:c r="V111" s="59" t="str">
        <x:v>https://www.nmit.ac.nz/study/programmes/new-zealand-certificate-in-aeronautical-engineering-level-4</x:v>
      </x:c>
      <x:c r="W111" s="59" t="str">
        <x:v>https://www.nmit.ac.nz/assets/Uploads/Publications-and-brochures/Prospectus/NMIT-International-Prospectus-2026_Jul25-Web-V2.pdf</x:v>
      </x:c>
      <x:c r="X111" s="46" t="str">
        <x:v>2026-07-29</x:v>
      </x:c>
      <x:c r="Y111" s="46" t="str">
        <x:v>Double-checked: live programme page + official international source</x:v>
      </x:c>
      <x:c r="Z111" s="46" t="str">
        <x:v>Only programmes appearing in the 2026 international prospectus are included. Live page supplies the 2027 date.</x:v>
      </x:c>
      <x:c r="AA111" s="46"/>
      <x:c r="AB111" s="46" t="str">
        <x:v>Published by provider</x:v>
      </x:c>
      <x:c r="AC111" s="47" t="str">
        <x:v>15 February 2027; 19 July 2027</x:v>
      </x:c>
    </x:row>
    <x:row r="112" ht="48" customHeight="1">
      <x:c r="A112" s="51" t="str">
        <x:v>Nelson Marlborough Institute of Technology</x:v>
      </x:c>
      <x:c r="B112" s="52" t="str">
        <x:v>NMIT</x:v>
      </x:c>
      <x:c r="C112" s="52" t="str">
        <x:v>English Language</x:v>
      </x:c>
      <x:c r="D112" s="52" t="str">
        <x:v>New Zealand Certificate in English Language (Academic) (Level 4)</x:v>
      </x:c>
      <x:c r="E112" s="52"/>
      <x:c r="F112" s="52" t="n">
        <x:v>4</x:v>
      </x:c>
      <x:c r="G112" s="52" t="str">
        <x:v>Certificate</x:v>
      </x:c>
      <x:c r="H112" s="52" t="str">
        <x:v>On campus / in-person (may include blended components)</x:v>
      </x:c>
      <x:c r="I112" s="52" t="str">
        <x:v>Yes — provider publishes international/on-campus availability</x:v>
      </x:c>
      <x:c r="J112" s="52" t="str">
        <x:v>Nelson</x:v>
      </x:c>
      <x:c r="K112" s="52" t="str">
        <x:v>16 teaching weeks plus 2 weeks of study break</x:v>
      </x:c>
      <x:c r="L112" s="52"/>
      <x:c r="M112" s="52" t="str">
        <x:v>22 February 2027; 19 July 2027</x:v>
      </x:c>
      <x:c r="N112" s="52" t="str">
        <x:v>$26,576 per year (standard undergraduate band; verify programme-specific prospectus row)</x:v>
      </x:c>
      <x:c r="O112" s="52" t="str">
        <x:v>2026 international prospectus basis</x:v>
      </x:c>
      <x:c r="P112" s="52" t="str">
        <x:v>2026</x:v>
      </x:c>
      <x:c r="Q112" s="52" t="str">
        <x:v>Not published; 2026 fee shown only</x:v>
      </x:c>
      <x:c r="R112"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2" s="52" t="str">
        <x:v>IELTS score? Completion of this programme can help you gain entry into other NMIT programmes that require an IELTS score of 6 with no band score lower than 5.5. At NMIT we test your Eng</x:v>
      </x:c>
      <x:c r="T112" s="52"/>
      <x:c r="U112" s="52" t="str">
        <x:v>NMIT 2026 international study grants may apply; programme/country eligibility must be checked.</x:v>
      </x:c>
      <x:c r="V112" s="58" t="str">
        <x:v>https://www.nmit.ac.nz/study/programmes/level-4-academic</x:v>
      </x:c>
      <x:c r="W112" s="58" t="str">
        <x:v>https://www.nmit.ac.nz/assets/Uploads/Publications-and-brochures/Prospectus/NMIT-International-Prospectus-2026_Jul25-Web-V2.pdf</x:v>
      </x:c>
      <x:c r="X112" s="52" t="str">
        <x:v>2026-07-29</x:v>
      </x:c>
      <x:c r="Y112" s="52" t="str">
        <x:v>Double-checked: live programme page + official international source</x:v>
      </x:c>
      <x:c r="Z112" s="52" t="str">
        <x:v>Only programmes appearing in the 2026 international prospectus are included. Live page supplies the 2027 date.</x:v>
      </x:c>
      <x:c r="AA112" s="52"/>
      <x:c r="AB112" s="52" t="str">
        <x:v>Published by provider</x:v>
      </x:c>
      <x:c r="AC112" s="53" t="str">
        <x:v>22 February 2027; 19 July 2027</x:v>
      </x:c>
    </x:row>
    <x:row r="113" ht="48" customHeight="1">
      <x:c r="A113" s="45" t="str">
        <x:v>Nelson Marlborough Institute of Technology</x:v>
      </x:c>
      <x:c r="B113" s="46" t="str">
        <x:v>NMIT</x:v>
      </x:c>
      <x:c r="C113" s="46" t="str">
        <x:v>Foundation &amp; Pathways</x:v>
      </x:c>
      <x:c r="D113" s="46" t="str">
        <x:v>New Zealand Certificate in Study and Employment Pathways (Level 4)</x:v>
      </x:c>
      <x:c r="E113" s="46"/>
      <x:c r="F113" s="46" t="n">
        <x:v>4</x:v>
      </x:c>
      <x:c r="G113" s="46" t="str">
        <x:v>Certificate</x:v>
      </x:c>
      <x:c r="H113" s="46" t="str">
        <x:v>On campus / in-person (may include blended components)</x:v>
      </x:c>
      <x:c r="I113" s="46" t="str">
        <x:v>Yes — provider publishes international/on-campus availability</x:v>
      </x:c>
      <x:c r="J113" s="46" t="str">
        <x:v>Nelson; Marlborough</x:v>
      </x:c>
      <x:c r="K113" s="46" t="str">
        <x:v>17 teaching weeks plus 2 weeks of study break</x:v>
      </x:c>
      <x:c r="L113" s="46"/>
      <x:c r="M113" s="46" t="str">
        <x:v>19 July 2027; 22 February 2027</x:v>
      </x:c>
      <x:c r="N113" s="46" t="str">
        <x:v>$26,576 per year (standard undergraduate band; verify programme-specific prospectus row)</x:v>
      </x:c>
      <x:c r="O113" s="46" t="str">
        <x:v>2026 international prospectus basis</x:v>
      </x:c>
      <x:c r="P113" s="46" t="str">
        <x:v>2026</x:v>
      </x:c>
      <x:c r="Q113" s="46" t="str">
        <x:v>Not published; 2026 fee shown only</x:v>
      </x:c>
      <x:c r="R113"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3" s="46" t="str">
        <x:v>If English is not the applicant’s first language they will need to provide a result from a test or qualification on the acceptable alternatives English Proficiency Outcomes Table. Please visit here(external link) for more information. Applicants who do not have evidence of English language skills and are a New Zealand citizen or permanent resident, may contact NMIT for an assessment. • IELTS 5.5 Academic (no lower than 5.0 in any subtest) Filter Location Marlborough Nelson Years 2026 2027 Level N/A Qualification N/A Courses Course Skills for Successful Tertiary Study SCP401 Course Building Communication Competence SCP402 Course Introduction t</x:v>
      </x:c>
      <x:c r="T113" s="46"/>
      <x:c r="U113" s="46" t="str">
        <x:v>NMIT 2026 international study grants may apply; programme/country eligibility must be checked.</x:v>
      </x:c>
      <x:c r="V113" s="59" t="str">
        <x:v>https://www.nmit.ac.nz/study/programmes/new-zealand-certificate-in-study-and-employment-pathways</x:v>
      </x:c>
      <x:c r="W113" s="59" t="str">
        <x:v>https://www.nmit.ac.nz/assets/Uploads/Publications-and-brochures/Prospectus/NMIT-International-Prospectus-2026_Jul25-Web-V2.pdf</x:v>
      </x:c>
      <x:c r="X113" s="46" t="str">
        <x:v>2026-07-29</x:v>
      </x:c>
      <x:c r="Y113" s="46" t="str">
        <x:v>Double-checked: live programme page + official international source</x:v>
      </x:c>
      <x:c r="Z113" s="46" t="str">
        <x:v>Only programmes appearing in the 2026 international prospectus are included. Live page supplies the 2027 date.</x:v>
      </x:c>
      <x:c r="AA113" s="46"/>
      <x:c r="AB113" s="46" t="str">
        <x:v>Published by provider</x:v>
      </x:c>
      <x:c r="AC113" s="47" t="str">
        <x:v>19 July 2027; 22 February 2027</x:v>
      </x:c>
    </x:row>
    <x:row r="114" ht="48" customHeight="1">
      <x:c r="A114" s="51" t="str">
        <x:v>Nelson Marlborough Institute of Technology</x:v>
      </x:c>
      <x:c r="B114" s="52" t="str">
        <x:v>NMIT</x:v>
      </x:c>
      <x:c r="C114" s="52" t="str">
        <x:v>Health &amp; Nursing</x:v>
      </x:c>
      <x:c r="D114" s="52" t="str">
        <x:v>Bachelor of Nursing</x:v>
      </x:c>
      <x:c r="E114" s="52"/>
      <x:c r="F114" s="52" t="n">
        <x:v>7</x:v>
      </x:c>
      <x:c r="G114" s="52" t="str">
        <x:v>Bachelor's Degree</x:v>
      </x:c>
      <x:c r="H114" s="52" t="str">
        <x:v>On campus / in-person (may include blended components)</x:v>
      </x:c>
      <x:c r="I114" s="52" t="str">
        <x:v>Yes — provider publishes international/on-campus availability</x:v>
      </x:c>
      <x:c r="J114" s="52" t="str">
        <x:v>Nelson; Marlborough</x:v>
      </x:c>
      <x:c r="K114" s="52" t="str">
        <x:v>3 years full time; 32 teaching weeks plus 8 weeks of study break per year</x:v>
      </x:c>
      <x:c r="L114" s="52"/>
      <x:c r="M114" s="52" t="str">
        <x:v>15 February 2027</x:v>
      </x:c>
      <x:c r="N114" s="52" t="str">
        <x:v>$26,576 per year (standard undergraduate band; verify programme-specific prospectus row)</x:v>
      </x:c>
      <x:c r="O114" s="52" t="str">
        <x:v>2026 international prospectus basis</x:v>
      </x:c>
      <x:c r="P114" s="52" t="str">
        <x:v>2026</x:v>
      </x:c>
      <x:c r="Q114" s="52" t="str">
        <x:v>Not published; 2026 fee shown only</x:v>
      </x:c>
      <x:c r="R114"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4" s="52" t="str">
        <x:v>if English is not their first language. This will depend on their country of origin and qualifications. Please contact the Enrolment team for assessment. This may include New Zealand Residents Support workers already working in New Zealand. English Language Requirements Applicants for whom English is not a first language are required to provide proof of English proficiency. Applicants must meet all stated entry requirements and demonstrate English language skills with an IELTS Academic 6.5 (no lower than 6.5 in all subtests), or Occupational English Test (OET) with a C+ band/score in each section in one sitting, or NZCEL Level 5. Results must</x:v>
      </x:c>
      <x:c r="T114" s="52"/>
      <x:c r="U114" s="52" t="str">
        <x:v>NMIT 2026 international study grants may apply; programme/country eligibility must be checked.</x:v>
      </x:c>
      <x:c r="V114" s="58" t="str">
        <x:v>https://www.nmit.ac.nz/study/programmes/bachelor-of-nursing-2</x:v>
      </x:c>
      <x:c r="W114" s="58" t="str">
        <x:v>https://www.nmit.ac.nz/assets/Uploads/Publications-and-brochures/Prospectus/NMIT-International-Prospectus-2026_Jul25-Web-V2.pdf</x:v>
      </x:c>
      <x:c r="X114" s="52" t="str">
        <x:v>2026-07-29</x:v>
      </x:c>
      <x:c r="Y114" s="52" t="str">
        <x:v>Double-checked: live programme page + official international source</x:v>
      </x:c>
      <x:c r="Z114" s="52" t="str">
        <x:v>Only programmes appearing in the 2026 international prospectus are included. Live page supplies the 2027 date.</x:v>
      </x:c>
      <x:c r="AA114" s="52"/>
      <x:c r="AB114" s="52" t="str">
        <x:v>Published by provider</x:v>
      </x:c>
      <x:c r="AC114" s="53" t="str">
        <x:v>15 February 2027</x:v>
      </x:c>
    </x:row>
    <x:row r="115" ht="48" customHeight="1">
      <x:c r="A115" s="45" t="str">
        <x:v>Nelson Marlborough Institute of Technology</x:v>
      </x:c>
      <x:c r="B115" s="46" t="str">
        <x:v>NMIT</x:v>
      </x:c>
      <x:c r="C115" s="46" t="str">
        <x:v>Hospitality &amp; Tourism</x:v>
      </x:c>
      <x:c r="D115" s="46" t="str">
        <x:v>New Zealand Certificate in Cookery (Level 4)</x:v>
      </x:c>
      <x:c r="E115" s="46"/>
      <x:c r="F115" s="46" t="n">
        <x:v>4</x:v>
      </x:c>
      <x:c r="G115" s="46" t="str">
        <x:v>Certificate</x:v>
      </x:c>
      <x:c r="H115" s="46" t="str">
        <x:v>On campus / in-person (may include blended components)</x:v>
      </x:c>
      <x:c r="I115" s="46" t="str">
        <x:v>Yes — provider publishes international/on-campus availability</x:v>
      </x:c>
      <x:c r="J115" s="46" t="str">
        <x:v>Nelson</x:v>
      </x:c>
      <x:c r="K115" s="46" t="str">
        <x:v>34 teaching weeks plus 6 weeks of study break</x:v>
      </x:c>
      <x:c r="L115" s="46"/>
      <x:c r="M115" s="46" t="str">
        <x:v>22 February 2027</x:v>
      </x:c>
      <x:c r="N115" s="46" t="str">
        <x:v>$26,576 per year (standard undergraduate band; verify programme-specific prospectus row)</x:v>
      </x:c>
      <x:c r="O115" s="46" t="str">
        <x:v>2026 international prospectus basis</x:v>
      </x:c>
      <x:c r="P115" s="46" t="str">
        <x:v>2026</x:v>
      </x:c>
      <x:c r="Q115" s="46" t="str">
        <x:v>Not published; 2026 fee shown only</x:v>
      </x:c>
      <x:c r="R115"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5" s="46" t="str">
        <x:v>You must have a level of English sufficient to be able to study at this level. If your first language is not English you should have an international English Language Testing System (IELTS) overall academic score of at least 5.5 (with at least 5.0 in each band) issued within the last two years, or a qualification considered to be equivalent to the above:Refer to The NZQA Table of Internationally Recognised English Proficiency Outcomes for International Students.(external link) Note: If you who have achieved NCEA Level 3 University Entrance requirements are not required to provide evidence of English Language Skills. Additional costs You are r</x:v>
      </x:c>
      <x:c r="T115" s="46"/>
      <x:c r="U115" s="46" t="str">
        <x:v>NMIT 2026 international study grants may apply; programme/country eligibility must be checked.</x:v>
      </x:c>
      <x:c r="V115" s="59" t="str">
        <x:v>https://www.nmit.ac.nz/study/programmes/trainee-chef-level-4</x:v>
      </x:c>
      <x:c r="W115" s="59" t="str">
        <x:v>https://www.nmit.ac.nz/assets/Uploads/Publications-and-brochures/Prospectus/NMIT-International-Prospectus-2026_Jul25-Web-V2.pdf</x:v>
      </x:c>
      <x:c r="X115" s="46" t="str">
        <x:v>2026-07-29</x:v>
      </x:c>
      <x:c r="Y115" s="46" t="str">
        <x:v>Double-checked: live programme page + official international source</x:v>
      </x:c>
      <x:c r="Z115" s="46" t="str">
        <x:v>Only programmes appearing in the 2026 international prospectus are included. Live page supplies the 2027 date.</x:v>
      </x:c>
      <x:c r="AA115" s="46"/>
      <x:c r="AB115" s="46" t="str">
        <x:v>Published by provider</x:v>
      </x:c>
      <x:c r="AC115" s="47" t="str">
        <x:v>22 February 2027</x:v>
      </x:c>
    </x:row>
    <x:row r="116" ht="48" customHeight="1">
      <x:c r="A116" s="51" t="str">
        <x:v>Nelson Marlborough Institute of Technology</x:v>
      </x:c>
      <x:c r="B116" s="52" t="str">
        <x:v>NMIT</x:v>
      </x:c>
      <x:c r="C116" s="52" t="str">
        <x:v>Other</x:v>
      </x:c>
      <x:c r="D116" s="52" t="str">
        <x:v>Bachelor of Commerce</x:v>
      </x:c>
      <x:c r="E116" s="52"/>
      <x:c r="F116" s="52" t="n">
        <x:v>7</x:v>
      </x:c>
      <x:c r="G116" s="52" t="str">
        <x:v>Bachelor's Degree</x:v>
      </x:c>
      <x:c r="H116" s="52" t="str">
        <x:v>On campus / in-person (may include blended components)</x:v>
      </x:c>
      <x:c r="I116" s="52" t="str">
        <x:v>Yes — provider publishes international/on-campus availability</x:v>
      </x:c>
      <x:c r="J116" s="52" t="str">
        <x:v>Nelson; Marlborough</x:v>
      </x:c>
      <x:c r="K116" s="52" t="str">
        <x:v>Single major: 3 years; 34 teaching weeks plus 6 weeks of study break per year Double major: 3 and a half years</x:v>
      </x:c>
      <x:c r="L116" s="52"/>
      <x:c r="M116" s="52" t="str">
        <x:v>22 February 2027; 19 July 2027</x:v>
      </x:c>
      <x:c r="N116" s="52" t="str">
        <x:v>$26,576 per year (standard undergraduate band; verify programme-specific prospectus row)</x:v>
      </x:c>
      <x:c r="O116" s="52" t="str">
        <x:v>2026 international prospectus basis</x:v>
      </x:c>
      <x:c r="P116" s="52" t="str">
        <x:v>2026</x:v>
      </x:c>
      <x:c r="Q116" s="52" t="str">
        <x:v>Not published; 2026 fee shown only</x:v>
      </x:c>
      <x:c r="R116"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6" s="52" t="str">
        <x:v>If English is not the applicant’s first language, applicants will need to provide a result from a test or qualification on the acceptable alternatives English Proficiency Outcomes Table:(external link) IELTS 6.0 Academic (no lower than 5.5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IELTS scores used must be taken from a single IELTS Test Report Form and are valid for two years fr</x:v>
      </x:c>
      <x:c r="T116" s="52"/>
      <x:c r="U116" s="52" t="str">
        <x:v>NMIT 2026 international study grants may apply; programme/country eligibility must be checked.</x:v>
      </x:c>
      <x:c r="V116" s="58" t="str">
        <x:v>https://www.nmit.ac.nz/study/programmes/bachelor-of-commerce</x:v>
      </x:c>
      <x:c r="W116" s="58" t="str">
        <x:v>https://www.nmit.ac.nz/assets/Uploads/Publications-and-brochures/Prospectus/NMIT-International-Prospectus-2026_Jul25-Web-V2.pdf</x:v>
      </x:c>
      <x:c r="X116" s="52" t="str">
        <x:v>2026-07-29</x:v>
      </x:c>
      <x:c r="Y116" s="52" t="str">
        <x:v>Double-checked: live programme page + official international source</x:v>
      </x:c>
      <x:c r="Z116" s="52" t="str">
        <x:v>Only programmes appearing in the 2026 international prospectus are included. Live page supplies the 2027 date.</x:v>
      </x:c>
      <x:c r="AA116" s="52"/>
      <x:c r="AB116" s="52" t="str">
        <x:v>Published by provider</x:v>
      </x:c>
      <x:c r="AC116" s="53" t="str">
        <x:v>22 February 2027; 19 July 2027</x:v>
      </x:c>
    </x:row>
    <x:row r="117" ht="48" customHeight="1">
      <x:c r="A117" s="45" t="str">
        <x:v>Nelson Marlborough Institute of Technology</x:v>
      </x:c>
      <x:c r="B117" s="46" t="str">
        <x:v>NMIT</x:v>
      </x:c>
      <x:c r="C117" s="46" t="str">
        <x:v>Science &amp; Environment</x:v>
      </x:c>
      <x:c r="D117" s="46" t="str">
        <x:v>Postgraduate Diploma in Sustainable Aquaculture</x:v>
      </x:c>
      <x:c r="E117" s="46"/>
      <x:c r="F117" s="46" t="n">
        <x:v>8</x:v>
      </x:c>
      <x:c r="G117" s="46" t="str">
        <x:v>Postgraduate Diploma</x:v>
      </x:c>
      <x:c r="H117" s="46" t="str">
        <x:v>On campus / in-person (may include blended components)</x:v>
      </x:c>
      <x:c r="I117" s="46" t="str">
        <x:v>Yes — provider publishes international/on-campus availability</x:v>
      </x:c>
      <x:c r="J117" s="46" t="str">
        <x:v>Nelson</x:v>
      </x:c>
      <x:c r="K117" s="46" t="str">
        <x:v>34 teaching weeks plus 6 weeks of study break</x:v>
      </x:c>
      <x:c r="L117" s="46"/>
      <x:c r="M117" s="46" t="str">
        <x:v>22 February 2027</x:v>
      </x:c>
      <x:c r="N117" s="46" t="str">
        <x:v>$12,424</x:v>
      </x:c>
      <x:c r="O117" s="46" t="str">
        <x:v>2026 international prospectus basis</x:v>
      </x:c>
      <x:c r="P117" s="46" t="str">
        <x:v>2026</x:v>
      </x:c>
      <x:c r="Q117" s="46" t="str">
        <x:v>Not published; 2026 fee shown only</x:v>
      </x:c>
      <x:c r="R117"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7" s="46" t="str">
        <x:v>If English is not the applicant’s first language, applicants will need to provide evidence from: An International English Language Testing System (IELTS) overall academic score of at least 6.5 (with at least 6.0 in each band) from a single test issued within the last two years OR A test or qualification listed as an acceptable alternative by NZQA English Language Proficiency Outcomes.(external link) OR Achieved NCEA Level 3 University Entrance requirements Additional distance study requirements For distance study, applicants must have the following to be able to utilise the online learning environment and complete practical/vocational aspects</x:v>
      </x:c>
      <x:c r="T117" s="46"/>
      <x:c r="U117" s="46" t="str">
        <x:v>NMIT 2026 international study grants may apply; programme/country eligibility must be checked.</x:v>
      </x:c>
      <x:c r="V117" s="59" t="str">
        <x:v>https://www.nmit.ac.nz/study/programmes/postgraduate-diploma-in-sustainable-aquaculture</x:v>
      </x:c>
      <x:c r="W117" s="59" t="str">
        <x:v>https://www.nmit.ac.nz/assets/Uploads/Publications-and-brochures/Prospectus/NMIT-International-Prospectus-2026_Jul25-Web-V2.pdf</x:v>
      </x:c>
      <x:c r="X117" s="46" t="str">
        <x:v>2026-07-29</x:v>
      </x:c>
      <x:c r="Y117" s="46" t="str">
        <x:v>Double-checked: live programme page + official international source</x:v>
      </x:c>
      <x:c r="Z117" s="46" t="str">
        <x:v>Only programmes appearing in the 2026 international prospectus are included. Live page supplies the 2027 date.</x:v>
      </x:c>
      <x:c r="AA117" s="46"/>
      <x:c r="AB117" s="46" t="str">
        <x:v>Published by provider</x:v>
      </x:c>
      <x:c r="AC117" s="47" t="str">
        <x:v>22 February 2027</x:v>
      </x:c>
    </x:row>
    <x:row r="118" ht="48" customHeight="1">
      <x:c r="A118" s="51" t="str">
        <x:v>Nelson Marlborough Institute of Technology</x:v>
      </x:c>
      <x:c r="B118" s="52" t="str">
        <x:v>NMIT</x:v>
      </x:c>
      <x:c r="C118" s="52" t="str">
        <x:v>Science &amp; Environment</x:v>
      </x:c>
      <x:c r="D118" s="52" t="str">
        <x:v>Bachelor of Aquaculture and Marine Conservation</x:v>
      </x:c>
      <x:c r="E118" s="52"/>
      <x:c r="F118" s="52" t="n">
        <x:v>7</x:v>
      </x:c>
      <x:c r="G118" s="52" t="str">
        <x:v>Bachelor's Degree</x:v>
      </x:c>
      <x:c r="H118" s="52" t="str">
        <x:v>On campus / in-person (may include blended components)</x:v>
      </x:c>
      <x:c r="I118" s="52" t="str">
        <x:v>Yes — provider publishes international/on-campus availability</x:v>
      </x:c>
      <x:c r="J118" s="52" t="str">
        <x:v>Nelson</x:v>
      </x:c>
      <x:c r="K118" s="52" t="str">
        <x:v>3 years full time; 34 teaching weeks plus 6 weeks of study break per year</x:v>
      </x:c>
      <x:c r="L118" s="52"/>
      <x:c r="M118" s="52" t="str">
        <x:v>22 February 2027</x:v>
      </x:c>
      <x:c r="N118" s="52" t="str">
        <x:v>$26,576 per year (standard undergraduate band; verify programme-specific prospectus row)</x:v>
      </x:c>
      <x:c r="O118" s="52" t="str">
        <x:v>2026 international prospectus basis</x:v>
      </x:c>
      <x:c r="P118" s="52" t="str">
        <x:v>2026</x:v>
      </x:c>
      <x:c r="Q118" s="52" t="str">
        <x:v>Not published; 2026 fee shown only</x:v>
      </x:c>
      <x:c r="R118"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8" s="52" t="str">
        <x:v>If English is not the applicant’s first language they will need to provide evidence of: An International English Language Testing System (IELTS) overall Academic score of 6.0 (not less than 5.5 in each band) from a single test issued within the last two years, OR A result from a test or qualification on the NZQA acceptable alternatives English Proficiency Outcomes Table.(external link) OR Achieved NCEA Level 3 University Entrance requirements Additional distance study requirements For distance study, applicants must have the following to be able to utilise the online learning environment and complete practical/vocational aspects of the progra</x:v>
      </x:c>
      <x:c r="T118" s="52"/>
      <x:c r="U118" s="52" t="str">
        <x:v>NMIT 2026 international study grants may apply; programme/country eligibility must be checked.</x:v>
      </x:c>
      <x:c r="V118" s="58" t="str">
        <x:v>https://www.nmit.ac.nz/study/programmes/bachelor-of-aquaculture-and-marine-conservation</x:v>
      </x:c>
      <x:c r="W118" s="58" t="str">
        <x:v>https://www.nmit.ac.nz/assets/Uploads/Publications-and-brochures/Prospectus/NMIT-International-Prospectus-2026_Jul25-Web-V2.pdf</x:v>
      </x:c>
      <x:c r="X118" s="52" t="str">
        <x:v>2026-07-29</x:v>
      </x:c>
      <x:c r="Y118" s="52" t="str">
        <x:v>Double-checked: live programme page + official international source</x:v>
      </x:c>
      <x:c r="Z118" s="52" t="str">
        <x:v>Only programmes appearing in the 2026 international prospectus are included. Live page supplies the 2027 date.</x:v>
      </x:c>
      <x:c r="AA118" s="52"/>
      <x:c r="AB118" s="52" t="str">
        <x:v>Published by provider</x:v>
      </x:c>
      <x:c r="AC118" s="53" t="str">
        <x:v>22 February 2027</x:v>
      </x:c>
    </x:row>
    <x:row r="119" ht="48" customHeight="1">
      <x:c r="A119" s="45" t="str">
        <x:v>Nelson Marlborough Institute of Technology</x:v>
      </x:c>
      <x:c r="B119" s="46" t="str">
        <x:v>NMIT</x:v>
      </x:c>
      <x:c r="C119" s="46" t="str">
        <x:v>Science &amp; Environment</x:v>
      </x:c>
      <x:c r="D119" s="46" t="str">
        <x:v>Bachelor of Viticulture and Winemaking</x:v>
      </x:c>
      <x:c r="E119" s="46"/>
      <x:c r="F119" s="46" t="n">
        <x:v>7</x:v>
      </x:c>
      <x:c r="G119" s="46" t="str">
        <x:v>Bachelor's Degree</x:v>
      </x:c>
      <x:c r="H119" s="46" t="str">
        <x:v>On campus / in-person (may include blended components)</x:v>
      </x:c>
      <x:c r="I119" s="46" t="str">
        <x:v>Yes — provider publishes international/on-campus availability</x:v>
      </x:c>
      <x:c r="J119" s="46" t="str">
        <x:v>Marlborough</x:v>
      </x:c>
      <x:c r="K119" s="46" t="str">
        <x:v>3 years full time</x:v>
      </x:c>
      <x:c r="L119" s="46"/>
      <x:c r="M119" s="46" t="str">
        <x:v>25 January 2027; 19 July 2027</x:v>
      </x:c>
      <x:c r="N119" s="46" t="str">
        <x:v>$26,576 per year (standard undergraduate band; verify programme-specific prospectus row)</x:v>
      </x:c>
      <x:c r="O119" s="46" t="str">
        <x:v>2026 international prospectus basis</x:v>
      </x:c>
      <x:c r="P119" s="46" t="str">
        <x:v>2026</x:v>
      </x:c>
      <x:c r="Q119" s="46" t="str">
        <x:v>Not published; 2026 fee shown only</x:v>
      </x:c>
      <x:c r="R119"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19" s="46" t="str">
        <x:v>If English is not the applicant’s first language they will need to provide evidence of : An International English Language Testing System (IELTS) overall academic score of at least 6.0 (with at least 5.5 in each band), issued within the last two years OR A result from a test or qualification on the NZQA acceptable alternatives English Proficiency Outcomes Table.(external link) OR Achieved NCEA Level 3 University Entrance requirements Additional Distance Study Requirements For distance study, applicants must have the following to be able to utilise the online learning environment and complete practical/vocational aspects of the Programme: Empl</x:v>
      </x:c>
      <x:c r="T119" s="46"/>
      <x:c r="U119" s="46" t="str">
        <x:v>NMIT 2026 international study grants may apply; programme/country eligibility must be checked.</x:v>
      </x:c>
      <x:c r="V119" s="59" t="str">
        <x:v>https://www.nmit.ac.nz/study/programmes/bachelor-of-viticulture-and-winemaking</x:v>
      </x:c>
      <x:c r="W119" s="59" t="str">
        <x:v>https://www.nmit.ac.nz/assets/Uploads/Publications-and-brochures/Prospectus/NMIT-International-Prospectus-2026_Jul25-Web-V2.pdf</x:v>
      </x:c>
      <x:c r="X119" s="46" t="str">
        <x:v>2026-07-29</x:v>
      </x:c>
      <x:c r="Y119" s="46" t="str">
        <x:v>Double-checked: live programme page + official international source</x:v>
      </x:c>
      <x:c r="Z119" s="46" t="str">
        <x:v>Only programmes appearing in the 2026 international prospectus are included. Live page supplies the 2027 date.</x:v>
      </x:c>
      <x:c r="AA119" s="46"/>
      <x:c r="AB119" s="46" t="str">
        <x:v>Published by provider</x:v>
      </x:c>
      <x:c r="AC119" s="47" t="str">
        <x:v>25 January 2027; 19 July 2027</x:v>
      </x:c>
    </x:row>
    <x:row r="120" ht="48" customHeight="1">
      <x:c r="A120" s="51" t="str">
        <x:v>Nelson Marlborough Institute of Technology</x:v>
      </x:c>
      <x:c r="B120" s="52" t="str">
        <x:v>NMIT</x:v>
      </x:c>
      <x:c r="C120" s="52" t="str">
        <x:v>Science &amp; Environment</x:v>
      </x:c>
      <x:c r="D120" s="52" t="str">
        <x:v>Diploma in Nautical Science</x:v>
      </x:c>
      <x:c r="E120" s="52"/>
      <x:c r="F120" s="52" t="n">
        <x:v>6</x:v>
      </x:c>
      <x:c r="G120" s="52" t="str">
        <x:v>Diploma</x:v>
      </x:c>
      <x:c r="H120" s="52" t="str">
        <x:v>On campus / in-person (may include blended components)</x:v>
      </x:c>
      <x:c r="I120" s="52" t="str">
        <x:v>Yes — provider publishes international/on-campus availability</x:v>
      </x:c>
      <x:c r="J120" s="52" t="str">
        <x:v>Nelson</x:v>
      </x:c>
      <x:c r="K120" s="52" t="str">
        <x:v>Duration will vary depending on your sea-time and any prior qualifications you may have. The programme includes a 36–43 weeks full-time block course here in Nelson.</x:v>
      </x:c>
      <x:c r="L120" s="52"/>
      <x:c r="M120" s="52" t="str">
        <x:v>15 February 2027; 19 July 2027</x:v>
      </x:c>
      <x:c r="N120" s="52" t="str">
        <x:v>$23,506</x:v>
      </x:c>
      <x:c r="O120" s="52" t="str">
        <x:v>2026 international prospectus basis</x:v>
      </x:c>
      <x:c r="P120" s="52" t="str">
        <x:v>2026</x:v>
      </x:c>
      <x:c r="Q120" s="52" t="str">
        <x:v>Not published; 2026 fee shown only</x:v>
      </x:c>
      <x:c r="R120" s="52"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20" s="52" t="str">
        <x:v>If English is not the applicant’s first language, applicants will need to provide a result from a test or qualification on the acceptable alternatives English Proficiency Outcomes Table:(external link) IELTS 6.0 Academic (no lower than 5.5 in each band) Note: Applicants who do not have evidence of English language skills and are a New Zealand citizen or permanent resident, may contact NMIT for an assessment Applicants who have achieved NCEA Level 3 University Entrance requirements are not required to provide evidence of English language skills IELTS scores used must be taken from a single IELTS Test Report Form and are valid for two years fro</x:v>
      </x:c>
      <x:c r="T120" s="52"/>
      <x:c r="U120" s="52" t="str">
        <x:v>NMIT 2026 international study grants may apply; programme/country eligibility must be checked.</x:v>
      </x:c>
      <x:c r="V120" s="58" t="str">
        <x:v>https://www.nmit.ac.nz/study/programmes/new-zealand-diploma-in-nautical-science-level-6</x:v>
      </x:c>
      <x:c r="W120" s="58" t="str">
        <x:v>https://www.nmit.ac.nz/assets/Uploads/Publications-and-brochures/Prospectus/NMIT-International-Prospectus-2026_Jul25-Web-V2.pdf</x:v>
      </x:c>
      <x:c r="X120" s="52" t="str">
        <x:v>2026-07-29</x:v>
      </x:c>
      <x:c r="Y120" s="52" t="str">
        <x:v>Double-checked: live programme page + official international source</x:v>
      </x:c>
      <x:c r="Z120" s="52" t="str">
        <x:v>Only programmes appearing in the 2026 international prospectus are included. Live page supplies the 2027 date.</x:v>
      </x:c>
      <x:c r="AA120" s="52"/>
      <x:c r="AB120" s="52" t="str">
        <x:v>Published by provider</x:v>
      </x:c>
      <x:c r="AC120" s="53" t="str">
        <x:v>15 February 2027; 19 July 2027</x:v>
      </x:c>
    </x:row>
    <x:row r="121" ht="48" customHeight="1">
      <x:c r="A121" s="45" t="str">
        <x:v>Nelson Marlborough Institute of Technology</x:v>
      </x:c>
      <x:c r="B121" s="46" t="str">
        <x:v>NMIT</x:v>
      </x:c>
      <x:c r="C121" s="46" t="str">
        <x:v>Sport &amp; Outdoor</x:v>
      </x:c>
      <x:c r="D121" s="46" t="str">
        <x:v>New Zealand Diploma in Sport Recreation and Exercise (Multi-sector) (Level 5)</x:v>
      </x:c>
      <x:c r="E121" s="46"/>
      <x:c r="F121" s="46" t="n">
        <x:v>5</x:v>
      </x:c>
      <x:c r="G121" s="46" t="str">
        <x:v>Diploma</x:v>
      </x:c>
      <x:c r="H121" s="46" t="str">
        <x:v>On campus / in-person (may include blended components)</x:v>
      </x:c>
      <x:c r="I121" s="46" t="str">
        <x:v>Yes — provider publishes international/on-campus availability</x:v>
      </x:c>
      <x:c r="J121" s="46" t="str">
        <x:v>Nelson</x:v>
      </x:c>
      <x:c r="K121" s="46" t="str">
        <x:v>34 teaching weeks plus 6 weeks of study break</x:v>
      </x:c>
      <x:c r="L121" s="46"/>
      <x:c r="M121" s="46" t="str">
        <x:v>22 February 2027</x:v>
      </x:c>
      <x:c r="N121" s="46" t="str">
        <x:v>$26,576 per year (standard undergraduate band; verify programme-specific prospectus row)</x:v>
      </x:c>
      <x:c r="O121" s="46" t="str">
        <x:v>2026 international prospectus basis</x:v>
      </x:c>
      <x:c r="P121" s="46" t="str">
        <x:v>2026</x:v>
      </x:c>
      <x:c r="Q121" s="46" t="str">
        <x:v>Not published; 2026 fee shown only</x:v>
      </x:c>
      <x:c r="R121" s="46" t="str">
        <x:v>International Entry requirements International support International support International Development Team International Development Team Industry and Community Industry and Community Industry and Community Upskill Your Workforce Upskill Your Workforce Partnerships through sponsorships Partnerships through sponsorships NMIT apprenticeship programme NMIT apprenticeship programme International Maritime Institute of New Zealand International Maritime Institute of New Zealand Build your vineyard workforce Build your vineyard workforce About About About Our history Our history Governance and leadership Governance and leadership International Curriculum International Curriculum International International Have your say Have your say Contact us Contact us Media hub Media hub Subscribe Subscribe </x:v>
      </x:c>
      <x:c r="S121" s="46" t="str">
        <x:v>All applicants must have a level of English sufficient to be able to study at this level. Those students whose first language is not English will have: An International English Language Testing System (IELTS) overall Academic score of at least 6 issued within the last two years OR An equivalent qualification If you do not have an IELTS test score, you may send us other evidence of your English language level. Please visit here(external link) for more information. Other requirements All applicants must sign a Risk Management Contract, relating to risk and their health, prior to commencing study on the programme Applicants must also complete an</x:v>
      </x:c>
      <x:c r="T121" s="46"/>
      <x:c r="U121" s="46" t="str">
        <x:v>NMIT 2026 international study grants may apply; programme/country eligibility must be checked.</x:v>
      </x:c>
      <x:c r="V121" s="59" t="str">
        <x:v>https://www.nmit.ac.nz/study/programmes/new-zealand-diploma-in-sport-recreation-and-exercise-level-5</x:v>
      </x:c>
      <x:c r="W121" s="59" t="str">
        <x:v>https://www.nmit.ac.nz/assets/Uploads/Publications-and-brochures/Prospectus/NMIT-International-Prospectus-2026_Jul25-Web-V2.pdf</x:v>
      </x:c>
      <x:c r="X121" s="46" t="str">
        <x:v>2026-07-29</x:v>
      </x:c>
      <x:c r="Y121" s="46" t="str">
        <x:v>Double-checked: live programme page + official international source</x:v>
      </x:c>
      <x:c r="Z121" s="46" t="str">
        <x:v>Only programmes appearing in the 2026 international prospectus are included. Live page supplies the 2027 date.</x:v>
      </x:c>
      <x:c r="AA121" s="46"/>
      <x:c r="AB121" s="46" t="str">
        <x:v>Published by provider</x:v>
      </x:c>
      <x:c r="AC121" s="47" t="str">
        <x:v>22 February 2027</x:v>
      </x:c>
    </x:row>
    <x:row r="122" ht="48" customHeight="1">
      <x:c r="A122" s="51" t="str">
        <x:v>NorthTec</x:v>
      </x:c>
      <x:c r="B122" s="52" t="str">
        <x:v>NorthTec</x:v>
      </x:c>
      <x:c r="C122" s="52" t="str">
        <x:v>Beauty &amp; Hair</x:v>
      </x:c>
      <x:c r="D122" s="52" t="str">
        <x:v>New Zealand Certificate in Beauty Therapy (Level 4)</x:v>
      </x:c>
      <x:c r="E122" s="52"/>
      <x:c r="F122" s="52" t="n">
        <x:v>4</x:v>
      </x:c>
      <x:c r="G122" s="52" t="str">
        <x:v>Certificate</x:v>
      </x:c>
      <x:c r="H122" s="52" t="str">
        <x:v>On campus / in-person (may include blended components)</x:v>
      </x:c>
      <x:c r="I122" s="52" t="str">
        <x:v>Yes — provider publishes international/on-campus availability</x:v>
      </x:c>
      <x:c r="J122" s="52" t="str">
        <x:v>Whangārei</x:v>
      </x:c>
      <x:c r="K122" s="52" t="str">
        <x:v>40 Weeks</x:v>
      </x:c>
      <x:c r="L122" s="52"/>
      <x:c r="M122" s="52" t="str">
        <x:v>February 2027</x:v>
      </x:c>
      <x:c r="N122" s="52" t="str">
        <x:v>$2</x:v>
      </x:c>
      <x:c r="O122" s="52" t="str">
        <x:v>2026 international fee field; CSSF extra</x:v>
      </x:c>
      <x:c r="P122" s="52" t="str">
        <x:v>2026</x:v>
      </x:c>
      <x:c r="Q122" s="52" t="str">
        <x:v>Not published; 2026 fee shown only</x:v>
      </x:c>
      <x:c r="R122" s="52" t="str">
        <x:v>Intakes &amp;</x:v>
      </x:c>
      <x:c r="S122" s="52" t="str">
        <x:v>IELTS score of 5 with no band score lower than 5; or an accepted international equivalence.All applicants must:be at least 16 years old at the time the programme commences.be able to re</x:v>
      </x:c>
      <x:c r="T122" s="52"/>
      <x:c r="U122" s="52" t="str">
        <x:v>No automatic international scholarship confirmed on the programme page.</x:v>
      </x:c>
      <x:c r="V122" s="58" t="str">
        <x:v>https://www.northtec.ac.nz/programmes/new-zealand-certificate-in-beauty-therapy-level-4</x:v>
      </x:c>
      <x:c r="W122" s="58" t="str">
        <x:v>https://www.northtec.ac.nz/resources/international-prospectus</x:v>
      </x:c>
      <x:c r="X122" s="52" t="str">
        <x:v>2026-07-29</x:v>
      </x:c>
      <x:c r="Y122" s="52" t="str">
        <x:v>Double-checked: live programme page + official international source</x:v>
      </x:c>
      <x:c r="Z122" s="52" t="str">
        <x:v>TBC is retained where NorthTec has not published an international amount. Rolling dates are listed only when after the cutoff.</x:v>
      </x:c>
      <x:c r="AA122" s="52"/>
      <x:c r="AB122" s="52" t="str">
        <x:v>Published by provider</x:v>
      </x:c>
      <x:c r="AC122" s="53" t="str">
        <x:v>February 2027</x:v>
      </x:c>
    </x:row>
    <x:row r="123" ht="48" customHeight="1">
      <x:c r="A123" s="45" t="str">
        <x:v>NorthTec</x:v>
      </x:c>
      <x:c r="B123" s="46" t="str">
        <x:v>NorthTec</x:v>
      </x:c>
      <x:c r="C123" s="46" t="str">
        <x:v>Beauty &amp; Hair</x:v>
      </x:c>
      <x:c r="D123" s="46" t="str">
        <x:v>New Zealand Certificate in Commercial Barbering (Level 4)</x:v>
      </x:c>
      <x:c r="E123" s="46"/>
      <x:c r="F123" s="46" t="n">
        <x:v>4</x:v>
      </x:c>
      <x:c r="G123" s="46" t="str">
        <x:v>Certificate</x:v>
      </x:c>
      <x:c r="H123" s="46" t="str">
        <x:v>On campus / in-person (may include blended components)</x:v>
      </x:c>
      <x:c r="I123" s="46" t="str">
        <x:v>Yes — provider publishes international/on-campus availability</x:v>
      </x:c>
      <x:c r="J123" s="46" t="str">
        <x:v>Whangārei</x:v>
      </x:c>
      <x:c r="K123" s="46" t="str">
        <x:v>40 Weeks</x:v>
      </x:c>
      <x:c r="L123" s="46"/>
      <x:c r="M123" s="46" t="str">
        <x:v>February 2027</x:v>
      </x:c>
      <x:c r="N123" s="46" t="str">
        <x:v>$26,000</x:v>
      </x:c>
      <x:c r="O123" s="46" t="str">
        <x:v>2026 international fee field; CSSF extra</x:v>
      </x:c>
      <x:c r="P123" s="46" t="str">
        <x:v>2026</x:v>
      </x:c>
      <x:c r="Q123" s="46" t="str">
        <x:v>Not published; 2026 fee shown only</x:v>
      </x:c>
      <x:c r="R123" s="46" t="str">
        <x:v>Intakes &amp;</x:v>
      </x:c>
      <x:c r="S123" s="46" t="str">
        <x:v>IELTS score of 5 with no band score lower than 5; or an accepted international equivalence.All applicants must:be at least 16 years old at the time the programme commences.be able to re</x:v>
      </x:c>
      <x:c r="T123" s="46"/>
      <x:c r="U123" s="46" t="str">
        <x:v>No automatic international scholarship confirmed on the programme page.</x:v>
      </x:c>
      <x:c r="V123" s="59" t="str">
        <x:v>https://www.northtec.ac.nz/programmes/new-zealand-certificate-in-commercial-barbering-level-4</x:v>
      </x:c>
      <x:c r="W123" s="59" t="str">
        <x:v>https://www.northtec.ac.nz/resources/international-prospectus</x:v>
      </x:c>
      <x:c r="X123" s="46" t="str">
        <x:v>2026-07-29</x:v>
      </x:c>
      <x:c r="Y123" s="46" t="str">
        <x:v>Double-checked: live programme page + official international source</x:v>
      </x:c>
      <x:c r="Z123" s="46" t="str">
        <x:v>TBC is retained where NorthTec has not published an international amount. Rolling dates are listed only when after the cutoff.</x:v>
      </x:c>
      <x:c r="AA123" s="46"/>
      <x:c r="AB123" s="46" t="str">
        <x:v>Published by provider</x:v>
      </x:c>
      <x:c r="AC123" s="47" t="str">
        <x:v>February 2027</x:v>
      </x:c>
    </x:row>
    <x:row r="124" ht="48" customHeight="1">
      <x:c r="A124" s="51" t="str">
        <x:v>NorthTec</x:v>
      </x:c>
      <x:c r="B124" s="52" t="str">
        <x:v>NorthTec</x:v>
      </x:c>
      <x:c r="C124" s="52" t="str">
        <x:v>Business &amp; Management</x:v>
      </x:c>
      <x:c r="D124" s="52" t="str">
        <x:v>New Zealand Diploma in Environmental Management (Level 6)</x:v>
      </x:c>
      <x:c r="E124" s="52"/>
      <x:c r="F124" s="52" t="n">
        <x:v>6</x:v>
      </x:c>
      <x:c r="G124" s="52" t="str">
        <x:v>Diploma</x:v>
      </x:c>
      <x:c r="H124" s="52" t="str">
        <x:v>On campus / in-person (may include blended components)</x:v>
      </x:c>
      <x:c r="I124" s="52" t="str">
        <x:v>Yes — provider publishes international/on-campus availability</x:v>
      </x:c>
      <x:c r="J124" s="52" t="str">
        <x:v>Whangārei</x:v>
      </x:c>
      <x:c r="K124" s="52" t="str">
        <x:v>40 Weeks</x:v>
      </x:c>
      <x:c r="L124" s="52"/>
      <x:c r="M124" s="52" t="str">
        <x:v>February 2027</x:v>
      </x:c>
      <x:c r="N124" s="52" t="str">
        <x:v>$26,000</x:v>
      </x:c>
      <x:c r="O124" s="52" t="str">
        <x:v>2026 international fee field; CSSF extra</x:v>
      </x:c>
      <x:c r="P124" s="52" t="str">
        <x:v>2026</x:v>
      </x:c>
      <x:c r="Q124" s="52" t="str">
        <x:v>Not published; 2026 fee shown only</x:v>
      </x:c>
      <x:c r="R124" s="52" t="str">
        <x:v>Intakes &amp;</x:v>
      </x:c>
      <x:c r="S124" s="52" t="str">
        <x:v>IELTS score of 5 with no band score lower than 5; or an accepted international equivalence.All applicants must:be at least 16 years old at the time the programme commences.be able to re</x:v>
      </x:c>
      <x:c r="T124" s="52"/>
      <x:c r="U124" s="52" t="str">
        <x:v>No automatic international scholarship confirmed on the programme page.</x:v>
      </x:c>
      <x:c r="V124" s="58" t="str">
        <x:v>https://www.northtec.ac.nz/programmes/new-zealand-diploma-in-environmental-management-level-6</x:v>
      </x:c>
      <x:c r="W124" s="58" t="str">
        <x:v>https://www.northtec.ac.nz/resources/international-prospectus</x:v>
      </x:c>
      <x:c r="X124" s="52" t="str">
        <x:v>2026-07-29</x:v>
      </x:c>
      <x:c r="Y124" s="52" t="str">
        <x:v>Double-checked: live programme page + official international source</x:v>
      </x:c>
      <x:c r="Z124" s="52" t="str">
        <x:v>TBC is retained where NorthTec has not published an international amount. Rolling dates are listed only when after the cutoff.</x:v>
      </x:c>
      <x:c r="AA124" s="52"/>
      <x:c r="AB124" s="52" t="str">
        <x:v>Published by provider</x:v>
      </x:c>
      <x:c r="AC124" s="53" t="str">
        <x:v>February 2027</x:v>
      </x:c>
    </x:row>
    <x:row r="125" ht="48" customHeight="1">
      <x:c r="A125" s="45" t="str">
        <x:v>NorthTec</x:v>
      </x:c>
      <x:c r="B125" s="46" t="str">
        <x:v>NorthTec</x:v>
      </x:c>
      <x:c r="C125" s="46" t="str">
        <x:v>Computing &amp; IT</x:v>
      </x:c>
      <x:c r="D125" s="46" t="str">
        <x:v>New Zealand Certificate in Information Technology Essentials (Level 4)</x:v>
      </x:c>
      <x:c r="E125" s="46"/>
      <x:c r="F125" s="46" t="n">
        <x:v>4</x:v>
      </x:c>
      <x:c r="G125" s="46" t="str">
        <x:v>Certificate</x:v>
      </x:c>
      <x:c r="H125" s="46" t="str">
        <x:v>On campus / in-person (may include blended components)</x:v>
      </x:c>
      <x:c r="I125" s="46" t="str">
        <x:v>Yes — provider publishes international/on-campus availability</x:v>
      </x:c>
      <x:c r="J125" s="46" t="str">
        <x:v>Whangārei</x:v>
      </x:c>
      <x:c r="K125" s="46" t="str">
        <x:v>19 Weeks</x:v>
      </x:c>
      <x:c r="L125" s="46" t="str">
        <x:v>2026-08-17; 2026-09-21; 2026-10-19</x:v>
      </x:c>
      <x:c r="M125" s="46"/>
      <x:c r="N125" s="46" t="str">
        <x:v>$2</x:v>
      </x:c>
      <x:c r="O125" s="46" t="str">
        <x:v>2026 international fee field; CSSF extra</x:v>
      </x:c>
      <x:c r="P125" s="46" t="str">
        <x:v>2026</x:v>
      </x:c>
      <x:c r="Q125" s="46" t="str">
        <x:v>No 2027 intake in this verified row</x:v>
      </x:c>
      <x:c r="R125" s="46" t="str">
        <x:v>Intakes &amp;</x:v>
      </x:c>
      <x:c r="S125" s="46" t="str">
        <x:v>IELTS score of 5 with no band score lower than 5; or an accepted international equivalence.All applicants must:be at least 16 years old at the time the programme commences.be able to re</x:v>
      </x:c>
      <x:c r="T125" s="46"/>
      <x:c r="U125" s="46" t="str">
        <x:v>No automatic international scholarship confirmed on the programme page.</x:v>
      </x:c>
      <x:c r="V125" s="59" t="str">
        <x:v>https://www.northtec.ac.nz/programmes/new-zealand-certificate-in-information-technology-essentials-level-4</x:v>
      </x:c>
      <x:c r="W125" s="59" t="str">
        <x:v>https://www.northtec.ac.nz/resources/international-prospectus</x:v>
      </x:c>
      <x:c r="X125" s="46" t="str">
        <x:v>2026-07-29</x:v>
      </x:c>
      <x:c r="Y125" s="46" t="str">
        <x:v>Double-checked: live programme page + official international source</x:v>
      </x:c>
      <x:c r="Z125" s="46" t="str">
        <x:v>TBC is retained where NorthTec has not published an international amount. Rolling dates are listed only when after the cutoff. 2027 planning date is projected from the 2026 start pattern and is not provider-confirmed.</x:v>
      </x:c>
      <x:c r="AA125" s="46" t="str">
        <x:v>Projected from 2026 pattern: 2027-08-17; 2027-09-21; 2027-10-19</x:v>
      </x:c>
      <x:c r="AB125" s="46" t="str">
        <x:v>Projected from 2026 pattern — not provider-published; reconfirm before application</x:v>
      </x:c>
      <x:c r="AC125" s="47" t="str">
        <x:v>Projected from 2026 pattern: 2027-08-17; 2027-09-21; 2027-10-19</x:v>
      </x:c>
    </x:row>
    <x:row r="126" ht="48" customHeight="1">
      <x:c r="A126" s="51" t="str">
        <x:v>NorthTec</x:v>
      </x:c>
      <x:c r="B126" s="52" t="str">
        <x:v>NorthTec</x:v>
      </x:c>
      <x:c r="C126" s="52" t="str">
        <x:v>Health &amp; Nursing</x:v>
      </x:c>
      <x:c r="D126" s="52" t="str">
        <x:v>Bachelor of Sport, Exercise and Health</x:v>
      </x:c>
      <x:c r="E126" s="52"/>
      <x:c r="F126" s="52" t="n">
        <x:v>7</x:v>
      </x:c>
      <x:c r="G126" s="52" t="str">
        <x:v>Bachelor's Degree</x:v>
      </x:c>
      <x:c r="H126" s="52" t="str">
        <x:v>On campus / in-person (may include blended components)</x:v>
      </x:c>
      <x:c r="I126" s="52" t="str">
        <x:v>Yes — provider publishes international/on-campus availability</x:v>
      </x:c>
      <x:c r="J126" s="52" t="str">
        <x:v>Whangārei</x:v>
      </x:c>
      <x:c r="K126" s="52" t="str">
        <x:v>3 Years</x:v>
      </x:c>
      <x:c r="L126" s="52"/>
      <x:c r="M126" s="52" t="str">
        <x:v>February 2027</x:v>
      </x:c>
      <x:c r="N126" s="52" t="str">
        <x:v>TBC</x:v>
      </x:c>
      <x:c r="O126" s="52" t="str">
        <x:v>2026 international fee field; CSSF extra</x:v>
      </x:c>
      <x:c r="P126" s="52" t="str">
        <x:v>2026</x:v>
      </x:c>
      <x:c r="Q126" s="52" t="str">
        <x:v>Not published; 2026 fee shown only</x:v>
      </x:c>
      <x:c r="R126" s="52" t="str">
        <x:v>Intakes &amp;</x:v>
      </x:c>
      <x:c r="S126" s="52" t="str">
        <x:v>in AUT’s Academic Calendar.Workforce Restrictions for Children's WorkforceIf you have a criminal conviction, and you are studying (or considering studying) towards a qualification that will lead to a job in the state funded sector working directly with children, you need to check whether your conviction could prevent you from working in some roles in your chosen field.Intakes &amp;</x:v>
      </x:c>
      <x:c r="T126" s="52"/>
      <x:c r="U126" s="52" t="str">
        <x:v>No automatic international scholarship confirmed on the programme page.</x:v>
      </x:c>
      <x:c r="V126" s="58" t="str">
        <x:v>https://www.northtec.ac.nz/programmes/bachelor-of-sport-and-recreation</x:v>
      </x:c>
      <x:c r="W126" s="58" t="str">
        <x:v>https://www.northtec.ac.nz/resources/international-prospectus</x:v>
      </x:c>
      <x:c r="X126" s="52" t="str">
        <x:v>2026-07-29</x:v>
      </x:c>
      <x:c r="Y126" s="52" t="str">
        <x:v>Double-checked: live programme page + official international source</x:v>
      </x:c>
      <x:c r="Z126" s="52" t="str">
        <x:v>TBC is retained where NorthTec has not published an international amount. Rolling dates are listed only when after the cutoff.</x:v>
      </x:c>
      <x:c r="AA126" s="52"/>
      <x:c r="AB126" s="52" t="str">
        <x:v>Published by provider</x:v>
      </x:c>
      <x:c r="AC126" s="53" t="str">
        <x:v>February 2027</x:v>
      </x:c>
    </x:row>
    <x:row r="127" ht="48" customHeight="1">
      <x:c r="A127" s="45" t="str">
        <x:v>NorthTec</x:v>
      </x:c>
      <x:c r="B127" s="46" t="str">
        <x:v>NorthTec</x:v>
      </x:c>
      <x:c r="C127" s="46" t="str">
        <x:v>Health &amp; Nursing</x:v>
      </x:c>
      <x:c r="D127" s="46" t="str">
        <x:v>Puawānanga Tapuhi Māori (Bachelor of Nursing Māori)</x:v>
      </x:c>
      <x:c r="E127" s="46"/>
      <x:c r="F127" s="46" t="n">
        <x:v>4</x:v>
      </x:c>
      <x:c r="G127" s="46" t="str">
        <x:v>Bachelor's Degree</x:v>
      </x:c>
      <x:c r="H127" s="46" t="str">
        <x:v>On campus / in-person (may include blended components)</x:v>
      </x:c>
      <x:c r="I127" s="46" t="str">
        <x:v>Yes — provider publishes international/on-campus availability</x:v>
      </x:c>
      <x:c r="J127" s="46" t="str">
        <x:v>Ngāwhā</x:v>
      </x:c>
      <x:c r="K127" s="46" t="str">
        <x:v>3 years</x:v>
      </x:c>
      <x:c r="L127" s="46"/>
      <x:c r="M127" s="46" t="str">
        <x:v>February 2027</x:v>
      </x:c>
      <x:c r="N127" s="46" t="str">
        <x:v>$2</x:v>
      </x:c>
      <x:c r="O127" s="46" t="str">
        <x:v>2026 international fee field; CSSF extra</x:v>
      </x:c>
      <x:c r="P127" s="46" t="str">
        <x:v>2026</x:v>
      </x:c>
      <x:c r="Q127" s="46" t="str">
        <x:v>Not published; 2026 fee shown only</x:v>
      </x:c>
      <x:c r="R127" s="46" t="str">
        <x:v>Intakes &amp;</x:v>
      </x:c>
      <x:c r="S127" s="46" t="str">
        <x:v>IELTS score of 5 with no band score lower than 5; or an accepted international equivalence.All applicants must:be at least 16 years old at the time the programme commences.be able to re</x:v>
      </x:c>
      <x:c r="T127" s="46"/>
      <x:c r="U127" s="46" t="str">
        <x:v>No automatic international scholarship confirmed on the programme page.</x:v>
      </x:c>
      <x:c r="V127" s="59" t="str">
        <x:v>https://www.northtec.ac.nz/programmes/bachelor-of-nursing-maori</x:v>
      </x:c>
      <x:c r="W127" s="59" t="str">
        <x:v>https://www.northtec.ac.nz/resources/international-prospectus</x:v>
      </x:c>
      <x:c r="X127" s="46" t="str">
        <x:v>2026-07-29</x:v>
      </x:c>
      <x:c r="Y127" s="46" t="str">
        <x:v>Double-checked: live programme page + official international source</x:v>
      </x:c>
      <x:c r="Z127" s="46" t="str">
        <x:v>TBC is retained where NorthTec has not published an international amount. Rolling dates are listed only when after the cutoff.</x:v>
      </x:c>
      <x:c r="AA127" s="46"/>
      <x:c r="AB127" s="46" t="str">
        <x:v>Published by provider</x:v>
      </x:c>
      <x:c r="AC127" s="47" t="str">
        <x:v>February 2027</x:v>
      </x:c>
    </x:row>
    <x:row r="128" ht="48" customHeight="1">
      <x:c r="A128" s="51" t="str">
        <x:v>NorthTec</x:v>
      </x:c>
      <x:c r="B128" s="52" t="str">
        <x:v>NorthTec</x:v>
      </x:c>
      <x:c r="C128" s="52" t="str">
        <x:v>Sport &amp; Outdoor</x:v>
      </x:c>
      <x:c r="D128" s="52" t="str">
        <x:v>New Zealand Diploma in Sport, Recreation and Exercise (Level 6)</x:v>
      </x:c>
      <x:c r="E128" s="52"/>
      <x:c r="F128" s="52" t="n">
        <x:v>6</x:v>
      </x:c>
      <x:c r="G128" s="52" t="str">
        <x:v>Diploma</x:v>
      </x:c>
      <x:c r="H128" s="52" t="str">
        <x:v>On campus / in-person (may include blended components)</x:v>
      </x:c>
      <x:c r="I128" s="52" t="str">
        <x:v>Yes — provider publishes international/on-campus availability</x:v>
      </x:c>
      <x:c r="J128" s="52" t="str">
        <x:v>Whangārei</x:v>
      </x:c>
      <x:c r="K128" s="52" t="str">
        <x:v>40 Weeks</x:v>
      </x:c>
      <x:c r="L128" s="52"/>
      <x:c r="M128" s="52" t="str">
        <x:v>February 2027</x:v>
      </x:c>
      <x:c r="N128" s="52" t="str">
        <x:v>$26,000</x:v>
      </x:c>
      <x:c r="O128" s="52" t="str">
        <x:v>2026 international fee field; CSSF extra</x:v>
      </x:c>
      <x:c r="P128" s="52" t="str">
        <x:v>2026</x:v>
      </x:c>
      <x:c r="Q128" s="52" t="str">
        <x:v>Not published; 2026 fee shown only</x:v>
      </x:c>
      <x:c r="R128" s="52" t="str">
        <x:v>Intakes &amp;</x:v>
      </x:c>
      <x:c r="S128" s="52" t="str">
        <x:v>IELTS score of 5 with no band score lower than 5; or an accepted international equivalence.All applicants must:be at least 16 years old at the time the programme commences.be able to re</x:v>
      </x:c>
      <x:c r="T128" s="52"/>
      <x:c r="U128" s="52" t="str">
        <x:v>No automatic international scholarship confirmed on the programme page.</x:v>
      </x:c>
      <x:c r="V128" s="58" t="str">
        <x:v>https://www.northtec.ac.nz/programmes/new-zealand-diploma-in-sport-recreation-and-exercise-level-6</x:v>
      </x:c>
      <x:c r="W128" s="58" t="str">
        <x:v>https://www.northtec.ac.nz/resources/international-prospectus</x:v>
      </x:c>
      <x:c r="X128" s="52" t="str">
        <x:v>2026-07-29</x:v>
      </x:c>
      <x:c r="Y128" s="52" t="str">
        <x:v>Double-checked: live programme page + official international source</x:v>
      </x:c>
      <x:c r="Z128" s="52" t="str">
        <x:v>TBC is retained where NorthTec has not published an international amount. Rolling dates are listed only when after the cutoff.</x:v>
      </x:c>
      <x:c r="AA128" s="52"/>
      <x:c r="AB128" s="52" t="str">
        <x:v>Published by provider</x:v>
      </x:c>
      <x:c r="AC128" s="53" t="str">
        <x:v>February 2027</x:v>
      </x:c>
    </x:row>
    <x:row r="129" ht="48" customHeight="1">
      <x:c r="A129" s="45" t="str">
        <x:v>NorthTec</x:v>
      </x:c>
      <x:c r="B129" s="46" t="str">
        <x:v>NorthTec</x:v>
      </x:c>
      <x:c r="C129" s="46" t="str">
        <x:v>Sport &amp; Outdoor</x:v>
      </x:c>
      <x:c r="D129" s="46" t="str">
        <x:v>New Zealand Diploma in Sport, Recreation and Exercise (Level 5)</x:v>
      </x:c>
      <x:c r="E129" s="46"/>
      <x:c r="F129" s="46" t="n">
        <x:v>5</x:v>
      </x:c>
      <x:c r="G129" s="46" t="str">
        <x:v>Diploma</x:v>
      </x:c>
      <x:c r="H129" s="46" t="str">
        <x:v>On campus / in-person (may include blended components)</x:v>
      </x:c>
      <x:c r="I129" s="46" t="str">
        <x:v>Yes — provider publishes international/on-campus availability</x:v>
      </x:c>
      <x:c r="J129" s="46" t="str">
        <x:v>Whangārei</x:v>
      </x:c>
      <x:c r="K129" s="46" t="str">
        <x:v>40 Weeks</x:v>
      </x:c>
      <x:c r="L129" s="46"/>
      <x:c r="M129" s="46" t="str">
        <x:v>February 2027</x:v>
      </x:c>
      <x:c r="N129" s="46" t="str">
        <x:v>$26,000</x:v>
      </x:c>
      <x:c r="O129" s="46" t="str">
        <x:v>2026 international fee field; CSSF extra</x:v>
      </x:c>
      <x:c r="P129" s="46" t="str">
        <x:v>2026</x:v>
      </x:c>
      <x:c r="Q129" s="46" t="str">
        <x:v>Not published; 2026 fee shown only</x:v>
      </x:c>
      <x:c r="R129" s="46" t="str">
        <x:v>Intakes &amp;</x:v>
      </x:c>
      <x:c r="S129" s="46" t="str">
        <x:v>All applicants must have a level of English sufficient to be able to study at this level. Those students whose first language is not English must have an International English Language Testing System (IELTS) overall academic score of at least 6.0 with no band score lower than 5.5; accepted international equivalence issued within the last two years, or a qualification considered to be equivalent to the above.Special Entry: In exceptional circumstances, an applicant who does not meet the entry requirements may be granted entry to the Programme where they supply evidence to satisfy the programme’s Academic Leader or delegate of their ability to </x:v>
      </x:c>
      <x:c r="T129" s="46"/>
      <x:c r="U129" s="46" t="str">
        <x:v>No automatic international scholarship confirmed on the programme page.</x:v>
      </x:c>
      <x:c r="V129" s="59" t="str">
        <x:v>https://www.northtec.ac.nz/programmes/new-zealand-diploma-in-sport-recreation-and-exercise-level-5</x:v>
      </x:c>
      <x:c r="W129" s="59" t="str">
        <x:v>https://www.northtec.ac.nz/resources/international-prospectus</x:v>
      </x:c>
      <x:c r="X129" s="46" t="str">
        <x:v>2026-07-29</x:v>
      </x:c>
      <x:c r="Y129" s="46" t="str">
        <x:v>Double-checked: live programme page + official international source</x:v>
      </x:c>
      <x:c r="Z129" s="46" t="str">
        <x:v>TBC is retained where NorthTec has not published an international amount. Rolling dates are listed only when after the cutoff.</x:v>
      </x:c>
      <x:c r="AA129" s="46"/>
      <x:c r="AB129" s="46" t="str">
        <x:v>Published by provider</x:v>
      </x:c>
      <x:c r="AC129" s="47" t="str">
        <x:v>February 2027</x:v>
      </x:c>
    </x:row>
    <x:row r="130" ht="48" customHeight="1">
      <x:c r="A130" s="51" t="str">
        <x:v>Otago Polytechnic</x:v>
      </x:c>
      <x:c r="B130" s="52" t="str">
        <x:v>Otago Polytechnic</x:v>
      </x:c>
      <x:c r="C130" s="52" t="str">
        <x:v>Business &amp; Management</x:v>
      </x:c>
      <x:c r="D130" s="52" t="str">
        <x:v>Master of Applied Management (Business Management)</x:v>
      </x:c>
      <x:c r="E130" s="52" t="str">
        <x:v>Business Management</x:v>
      </x:c>
      <x:c r="F130" s="52" t="n">
        <x:v>9</x:v>
      </x:c>
      <x:c r="G130" s="52" t="str">
        <x:v>Master's Degree</x:v>
      </x:c>
      <x:c r="H130" s="52" t="str">
        <x:v>On campus / in-person (may include blended components)</x:v>
      </x:c>
      <x:c r="I130" s="52" t="str">
        <x:v>Yes — provider publishes international/on-campus availability</x:v>
      </x:c>
      <x:c r="J130" s="52" t="str">
        <x:v>Dunedin; Auckland</x:v>
      </x:c>
      <x:c r="K130" s="52" t="str">
        <x:v>18 months full-time</x:v>
      </x:c>
      <x:c r="L130" s="52" t="str">
        <x:v>October 2026</x:v>
      </x:c>
      <x:c r="M130" s="52" t="str">
        <x:v>Dunedin: Feb / Jul 2027; Auckland: Feb / Apr / Jul / Oct 2027</x:v>
      </x:c>
      <x:c r="N130" s="52" t="str">
        <x:v>$44,400; scholarship $39,400; Auckland Oct 2026 $42,885 / $38,885 with scholarship</x:v>
      </x:c>
      <x:c r="O130" s="52" t="str">
        <x:v>Full tuition</x:v>
      </x:c>
      <x:c r="P130" s="52" t="str">
        <x:v>2026</x:v>
      </x:c>
      <x:c r="Q130" s="52" t="str">
        <x:v>Not published; 2026 fee shown only</x:v>
      </x:c>
      <x:c r="R130" s="52" t="str">
        <x:v>See the official programme page for the programme-specific academic and subject requirements.</x:v>
      </x:c>
      <x:c r="S130" s="52" t="str">
        <x:v>See the official programme page; commonly IELTS 6.0 (no band below 5.5) for Levels 6–7 and IELTS 6.5 (no band below 6.0) for Level 9.</x:v>
      </x:c>
      <x:c r="T130" s="52"/>
      <x:c r="U130" s="52" t="str">
        <x:v>Otago Polytechnic international scholarship discount is shown in the fee field where published.</x:v>
      </x:c>
      <x:c r="V130" s="58" t="str">
        <x:v>https://www.op.ac.nz/programmes/nzqa/master-of-applied-management-business-management</x:v>
      </x:c>
      <x:c r="W130" s="58" t="str">
        <x:v>https://www.op.ac.nz/international</x:v>
      </x:c>
      <x:c r="X130" s="52" t="str">
        <x:v>2026-07-29</x:v>
      </x:c>
      <x:c r="Y130" s="52" t="str">
        <x:v>Double-checked: live programme page + official international source</x:v>
      </x:c>
      <x:c r="Z130" s="52" t="str">
        <x:v>Physical Dunedin/Auckland occurrences only. 2027 tuition has not been relabelled from the 2026 amount.</x:v>
      </x:c>
      <x:c r="AA130" s="52"/>
      <x:c r="AB130" s="52" t="str">
        <x:v>Published by provider</x:v>
      </x:c>
      <x:c r="AC130" s="53" t="str">
        <x:v>Dunedin: Feb / Jul 2027; Auckland: Feb / Apr / Jul / Oct 2027</x:v>
      </x:c>
    </x:row>
    <x:row r="131" ht="48" customHeight="1">
      <x:c r="A131" s="45" t="str">
        <x:v>Otago Polytechnic</x:v>
      </x:c>
      <x:c r="B131" s="46" t="str">
        <x:v>Otago Polytechnic</x:v>
      </x:c>
      <x:c r="C131" s="46" t="str">
        <x:v>Business &amp; Management</x:v>
      </x:c>
      <x:c r="D131" s="46" t="str">
        <x:v>Bachelor of Applied Management</x:v>
      </x:c>
      <x:c r="E131" s="46" t="str">
        <x:v>Applied Management focus areas</x:v>
      </x:c>
      <x:c r="F131" s="46" t="n">
        <x:v>7</x:v>
      </x:c>
      <x:c r="G131" s="46" t="str">
        <x:v>Bachelor's Degree</x:v>
      </x:c>
      <x:c r="H131" s="46" t="str">
        <x:v>On campus / in-person (may include blended components)</x:v>
      </x:c>
      <x:c r="I131" s="46" t="str">
        <x:v>Yes — provider publishes international/on-campus availability</x:v>
      </x:c>
      <x:c r="J131" s="46" t="str">
        <x:v>Auckland</x:v>
      </x:c>
      <x:c r="K131" s="46" t="str">
        <x:v>3 years full-time</x:v>
      </x:c>
      <x:c r="L131" s="46" t="str">
        <x:v>October 2026</x:v>
      </x:c>
      <x:c r="M131" s="46" t="str">
        <x:v>Dunedin: Feb / Jul 2027; Auckland: Feb / Apr / Jul / Oct 2027</x:v>
      </x:c>
      <x:c r="N131" s="46" t="str">
        <x:v>$23,400; Auckland Oct 2026 $23,100</x:v>
      </x:c>
      <x:c r="O131" s="46" t="str">
        <x:v>First year / per year</x:v>
      </x:c>
      <x:c r="P131" s="46" t="str">
        <x:v>2026</x:v>
      </x:c>
      <x:c r="Q131" s="46" t="str">
        <x:v>Not published; 2026 fee shown only</x:v>
      </x:c>
      <x:c r="R131" s="46" t="str">
        <x:v>See the official programme page for the programme-specific academic and subject requirements.</x:v>
      </x:c>
      <x:c r="S131" s="46" t="str">
        <x:v>See the official programme page; commonly IELTS 6.0 (no band below 5.5) for Levels 6–7 and IELTS 6.5 (no band below 6.0) for Level 9.</x:v>
      </x:c>
      <x:c r="T131" s="46"/>
      <x:c r="U131" s="46" t="str">
        <x:v>Otago Polytechnic international scholarship discount is shown in the fee field where published.</x:v>
      </x:c>
      <x:c r="V131" s="59" t="str">
        <x:v>https://www.op.ac.nz/programmes/nzqa/bachelor-of-applied-management</x:v>
      </x:c>
      <x:c r="W131" s="59" t="str">
        <x:v>https://www.op.ac.nz/international</x:v>
      </x:c>
      <x:c r="X131" s="46" t="str">
        <x:v>2026-07-29</x:v>
      </x:c>
      <x:c r="Y131" s="46" t="str">
        <x:v>Double-checked: live programme page + official international source</x:v>
      </x:c>
      <x:c r="Z131" s="46" t="str">
        <x:v>Physical Dunedin/Auckland occurrences only. 2027 tuition has not been relabelled from the 2026 amount.</x:v>
      </x:c>
      <x:c r="AA131" s="46"/>
      <x:c r="AB131" s="46" t="str">
        <x:v>Published by provider</x:v>
      </x:c>
      <x:c r="AC131" s="47" t="str">
        <x:v>Dunedin: Feb / Jul 2027; Auckland: Feb / Apr / Jul / Oct 2027</x:v>
      </x:c>
    </x:row>
    <x:row r="132" ht="48" customHeight="1">
      <x:c r="A132" s="51" t="str">
        <x:v>Otago Polytechnic</x:v>
      </x:c>
      <x:c r="B132" s="52" t="str">
        <x:v>Otago Polytechnic</x:v>
      </x:c>
      <x:c r="C132" s="52" t="str">
        <x:v>Business &amp; Management</x:v>
      </x:c>
      <x:c r="D132" s="52" t="str">
        <x:v>Graduate Diploma in Applied Management</x:v>
      </x:c>
      <x:c r="E132" s="52"/>
      <x:c r="F132" s="52" t="n">
        <x:v>7</x:v>
      </x:c>
      <x:c r="G132" s="52" t="str">
        <x:v>Graduate Diploma</x:v>
      </x:c>
      <x:c r="H132" s="52" t="str">
        <x:v>On campus / in-person (may include blended components)</x:v>
      </x:c>
      <x:c r="I132" s="52" t="str">
        <x:v>Yes — provider publishes international/on-campus availability</x:v>
      </x:c>
      <x:c r="J132" s="52" t="str">
        <x:v>Dunedin; Auckland</x:v>
      </x:c>
      <x:c r="K132" s="52" t="str">
        <x:v>1 year full-time</x:v>
      </x:c>
      <x:c r="L132" s="52" t="str">
        <x:v>October 2026</x:v>
      </x:c>
      <x:c r="M132" s="52" t="str">
        <x:v>Dunedin: Feb / Jul 2027; Auckland: Feb / Apr / Jul / Oct 2027</x:v>
      </x:c>
      <x:c r="N132" s="52" t="str">
        <x:v>$23,400; Auckland Oct 2026 $23,100</x:v>
      </x:c>
      <x:c r="O132" s="52" t="str">
        <x:v>Full tuition</x:v>
      </x:c>
      <x:c r="P132" s="52" t="str">
        <x:v>2026</x:v>
      </x:c>
      <x:c r="Q132" s="52" t="str">
        <x:v>Not published; 2026 fee shown only</x:v>
      </x:c>
      <x:c r="R132" s="52" t="str">
        <x:v>See the official programme page for the programme-specific academic and subject requirements.</x:v>
      </x:c>
      <x:c r="S132" s="52" t="str">
        <x:v>See the official programme page; commonly IELTS 6.0 (no band below 5.5) for Levels 6–7 and IELTS 6.5 (no band below 6.0) for Level 9.</x:v>
      </x:c>
      <x:c r="T132" s="52"/>
      <x:c r="U132" s="52" t="str">
        <x:v>Otago Polytechnic international scholarship discount is shown in the fee field where published.</x:v>
      </x:c>
      <x:c r="V132" s="58" t="str">
        <x:v>https://www.op.ac.nz/programmes/nzqa/graduate-diploma-in-applied-management</x:v>
      </x:c>
      <x:c r="W132" s="58" t="str">
        <x:v>https://www.op.ac.nz/international</x:v>
      </x:c>
      <x:c r="X132" s="52" t="str">
        <x:v>2026-07-29</x:v>
      </x:c>
      <x:c r="Y132" s="52" t="str">
        <x:v>Double-checked: live programme page + official international source</x:v>
      </x:c>
      <x:c r="Z132" s="52" t="str">
        <x:v>Physical Dunedin/Auckland occurrences only. 2027 tuition has not been relabelled from the 2026 amount.</x:v>
      </x:c>
      <x:c r="AA132" s="52"/>
      <x:c r="AB132" s="52" t="str">
        <x:v>Published by provider</x:v>
      </x:c>
      <x:c r="AC132" s="53" t="str">
        <x:v>Dunedin: Feb / Jul 2027; Auckland: Feb / Apr / Jul / Oct 2027</x:v>
      </x:c>
    </x:row>
    <x:row r="133" ht="48" customHeight="1">
      <x:c r="A133" s="45" t="str">
        <x:v>Otago Polytechnic</x:v>
      </x:c>
      <x:c r="B133" s="46" t="str">
        <x:v>Otago Polytechnic</x:v>
      </x:c>
      <x:c r="C133" s="46" t="str">
        <x:v>Computing &amp; IT</x:v>
      </x:c>
      <x:c r="D133" s="46" t="str">
        <x:v>Bachelor of Information Technology</x:v>
      </x:c>
      <x:c r="E133" s="46"/>
      <x:c r="F133" s="46" t="n">
        <x:v>7</x:v>
      </x:c>
      <x:c r="G133" s="46" t="str">
        <x:v>Bachelor's Degree</x:v>
      </x:c>
      <x:c r="H133" s="46" t="str">
        <x:v>On campus / in-person (may include blended components)</x:v>
      </x:c>
      <x:c r="I133" s="46" t="str">
        <x:v>Yes — provider publishes international/on-campus availability</x:v>
      </x:c>
      <x:c r="J133" s="46" t="str">
        <x:v>Dunedin; Auckland</x:v>
      </x:c>
      <x:c r="K133" s="46" t="str">
        <x:v>3 years full-time</x:v>
      </x:c>
      <x:c r="L133" s="46" t="str">
        <x:v>October 2026</x:v>
      </x:c>
      <x:c r="M133" s="46" t="str">
        <x:v>Dunedin: Feb / Jul 2027; Auckland: Feb / Apr / Jul / Oct 2027</x:v>
      </x:c>
      <x:c r="N133" s="46" t="str">
        <x:v>$26,900; scholarship $23,400; Auckland Oct 2026 $26,572 / $23,100 with scholarship</x:v>
      </x:c>
      <x:c r="O133" s="46" t="str">
        <x:v>First year / per year</x:v>
      </x:c>
      <x:c r="P133" s="46" t="str">
        <x:v>2026</x:v>
      </x:c>
      <x:c r="Q133" s="46" t="str">
        <x:v>Not published; 2026 fee shown only</x:v>
      </x:c>
      <x:c r="R133" s="46" t="str">
        <x:v>See the official programme page for the programme-specific academic and subject requirements.</x:v>
      </x:c>
      <x:c r="S133" s="46" t="str">
        <x:v>See the official programme page; commonly IELTS 6.0 (no band below 5.5) for Levels 6–7 and IELTS 6.5 (no band below 6.0) for Level 9.</x:v>
      </x:c>
      <x:c r="T133" s="46"/>
      <x:c r="U133" s="46" t="str">
        <x:v>Otago Polytechnic international scholarship discount is shown in the fee field where published.</x:v>
      </x:c>
      <x:c r="V133" s="59" t="str">
        <x:v>https://www.op.ac.nz/programmes/nzqa/bachelor-of-information-technology</x:v>
      </x:c>
      <x:c r="W133" s="59" t="str">
        <x:v>https://www.op.ac.nz/international</x:v>
      </x:c>
      <x:c r="X133" s="46" t="str">
        <x:v>2026-07-29</x:v>
      </x:c>
      <x:c r="Y133" s="46" t="str">
        <x:v>Double-checked: live programme page + official international source</x:v>
      </x:c>
      <x:c r="Z133" s="46" t="str">
        <x:v>Physical Dunedin/Auckland occurrences only. 2027 tuition has not been relabelled from the 2026 amount.</x:v>
      </x:c>
      <x:c r="AA133" s="46"/>
      <x:c r="AB133" s="46" t="str">
        <x:v>Published by provider</x:v>
      </x:c>
      <x:c r="AC133" s="47" t="str">
        <x:v>Dunedin: Feb / Jul 2027; Auckland: Feb / Apr / Jul / Oct 2027</x:v>
      </x:c>
    </x:row>
    <x:row r="134" ht="48" customHeight="1">
      <x:c r="A134" s="51" t="str">
        <x:v>Otago Polytechnic</x:v>
      </x:c>
      <x:c r="B134" s="52" t="str">
        <x:v>Otago Polytechnic</x:v>
      </x:c>
      <x:c r="C134" s="52" t="str">
        <x:v>Computing &amp; IT</x:v>
      </x:c>
      <x:c r="D134" s="52" t="str">
        <x:v>Graduate Diploma in Information Technology</x:v>
      </x:c>
      <x:c r="E134" s="52"/>
      <x:c r="F134" s="52" t="n">
        <x:v>7</x:v>
      </x:c>
      <x:c r="G134" s="52" t="str">
        <x:v>Graduate Diploma</x:v>
      </x:c>
      <x:c r="H134" s="52" t="str">
        <x:v>On campus / in-person (may include blended components)</x:v>
      </x:c>
      <x:c r="I134" s="52" t="str">
        <x:v>Yes — provider publishes international/on-campus availability</x:v>
      </x:c>
      <x:c r="J134" s="52" t="str">
        <x:v>Dunedin; Auckland</x:v>
      </x:c>
      <x:c r="K134" s="52" t="str">
        <x:v>1 year full-time</x:v>
      </x:c>
      <x:c r="L134" s="52" t="str">
        <x:v>October 2026</x:v>
      </x:c>
      <x:c r="M134" s="52" t="str">
        <x:v>Dunedin: Feb / Jul 2027; Auckland: Feb / Apr / Jul / Oct 2027</x:v>
      </x:c>
      <x:c r="N134" s="52" t="str">
        <x:v>$26,900; scholarship $23,400; Auckland Oct 2026 $26,572 / $23,100 with scholarship</x:v>
      </x:c>
      <x:c r="O134" s="52" t="str">
        <x:v>Full tuition</x:v>
      </x:c>
      <x:c r="P134" s="52" t="str">
        <x:v>2026</x:v>
      </x:c>
      <x:c r="Q134" s="52" t="str">
        <x:v>Not published; 2026 fee shown only</x:v>
      </x:c>
      <x:c r="R134" s="52" t="str">
        <x:v>See the official programme page for the programme-specific academic and subject requirements.</x:v>
      </x:c>
      <x:c r="S134" s="52" t="str">
        <x:v>See the official programme page; commonly IELTS 6.0 (no band below 5.5) for Levels 6–7 and IELTS 6.5 (no band below 6.0) for Level 9.</x:v>
      </x:c>
      <x:c r="T134" s="52"/>
      <x:c r="U134" s="52" t="str">
        <x:v>Otago Polytechnic international scholarship discount is shown in the fee field where published.</x:v>
      </x:c>
      <x:c r="V134" s="58" t="str">
        <x:v>https://www.op.ac.nz/programmes/nzqa/graduate-diploma-in-information-technology-dunedin</x:v>
      </x:c>
      <x:c r="W134" s="58" t="str">
        <x:v>https://www.op.ac.nz/international</x:v>
      </x:c>
      <x:c r="X134" s="52" t="str">
        <x:v>2026-07-29</x:v>
      </x:c>
      <x:c r="Y134" s="52" t="str">
        <x:v>Double-checked: live programme page + official international source</x:v>
      </x:c>
      <x:c r="Z134" s="52" t="str">
        <x:v>Physical Dunedin/Auckland occurrences only. 2027 tuition has not been relabelled from the 2026 amount.</x:v>
      </x:c>
      <x:c r="AA134" s="52"/>
      <x:c r="AB134" s="52" t="str">
        <x:v>Published by provider</x:v>
      </x:c>
      <x:c r="AC134" s="53" t="str">
        <x:v>Dunedin: Feb / Jul 2027; Auckland: Feb / Apr / Jul / Oct 2027</x:v>
      </x:c>
    </x:row>
    <x:row r="135" ht="48" customHeight="1">
      <x:c r="A135" s="45" t="str">
        <x:v>Otago Polytechnic</x:v>
      </x:c>
      <x:c r="B135" s="46" t="str">
        <x:v>Otago Polytechnic</x:v>
      </x:c>
      <x:c r="C135" s="46" t="str">
        <x:v>Construction &amp; Architecture</x:v>
      </x:c>
      <x:c r="D135" s="46" t="str">
        <x:v>Bachelor of Construction (Quantity Surveying)</x:v>
      </x:c>
      <x:c r="E135" s="46" t="str">
        <x:v>Quantity Surveying</x:v>
      </x:c>
      <x:c r="F135" s="46" t="n">
        <x:v>7</x:v>
      </x:c>
      <x:c r="G135" s="46" t="str">
        <x:v>Bachelor's Degree</x:v>
      </x:c>
      <x:c r="H135" s="46" t="str">
        <x:v>On campus / in-person (may include blended components)</x:v>
      </x:c>
      <x:c r="I135" s="46" t="str">
        <x:v>Yes — provider publishes international/on-campus availability</x:v>
      </x:c>
      <x:c r="J135" s="46" t="str">
        <x:v>Dunedin; Auckland</x:v>
      </x:c>
      <x:c r="K135" s="46" t="str">
        <x:v>3 years full-time</x:v>
      </x:c>
      <x:c r="L135" s="46" t="str">
        <x:v>October 2026</x:v>
      </x:c>
      <x:c r="M135" s="46" t="str">
        <x:v>Dunedin: Feb / Jul 2027; Auckland: Feb / Apr / Jul / Oct 2027</x:v>
      </x:c>
      <x:c r="N135" s="46" t="str">
        <x:v>$26,900; scholarship $23,400; Auckland Oct 2026 $26,572 / $23,100 with scholarship</x:v>
      </x:c>
      <x:c r="O135" s="46" t="str">
        <x:v>First year / per year</x:v>
      </x:c>
      <x:c r="P135" s="46" t="str">
        <x:v>2026</x:v>
      </x:c>
      <x:c r="Q135" s="46" t="str">
        <x:v>Not published; 2026 fee shown only</x:v>
      </x:c>
      <x:c r="R135" s="46" t="str">
        <x:v>See the official programme page for the programme-specific academic and subject requirements.</x:v>
      </x:c>
      <x:c r="S135" s="46" t="str">
        <x:v>See the official programme page; commonly IELTS 6.0 (no band below 5.5) for Levels 6–7 and IELTS 6.5 (no band below 6.0) for Level 9.</x:v>
      </x:c>
      <x:c r="T135" s="46"/>
      <x:c r="U135" s="46" t="str">
        <x:v>Otago Polytechnic international scholarship discount is shown in the fee field where published.</x:v>
      </x:c>
      <x:c r="V135" s="59" t="str">
        <x:v>https://www.op.ac.nz/programmes/nzqa/bachelor-of-construction</x:v>
      </x:c>
      <x:c r="W135" s="59" t="str">
        <x:v>https://www.op.ac.nz/international</x:v>
      </x:c>
      <x:c r="X135" s="46" t="str">
        <x:v>2026-07-29</x:v>
      </x:c>
      <x:c r="Y135" s="46" t="str">
        <x:v>Double-checked: live programme page + official international source</x:v>
      </x:c>
      <x:c r="Z135" s="46" t="str">
        <x:v>Physical Dunedin/Auckland occurrences only. 2027 tuition has not been relabelled from the 2026 amount.</x:v>
      </x:c>
      <x:c r="AA135" s="46"/>
      <x:c r="AB135" s="46" t="str">
        <x:v>Published by provider</x:v>
      </x:c>
      <x:c r="AC135" s="47" t="str">
        <x:v>Dunedin: Feb / Jul 2027; Auckland: Feb / Apr / Jul / Oct 2027</x:v>
      </x:c>
    </x:row>
    <x:row r="136" ht="48" customHeight="1">
      <x:c r="A136" s="51" t="str">
        <x:v>Otago Polytechnic</x:v>
      </x:c>
      <x:c r="B136" s="52" t="str">
        <x:v>Otago Polytechnic</x:v>
      </x:c>
      <x:c r="C136" s="52" t="str">
        <x:v>Construction &amp; Architecture</x:v>
      </x:c>
      <x:c r="D136" s="52" t="str">
        <x:v>New Zealand Diploma in Construction (Level 6) (Quantity Surveying)</x:v>
      </x:c>
      <x:c r="E136" s="52" t="str">
        <x:v>Quantity Surveying</x:v>
      </x:c>
      <x:c r="F136" s="52" t="n">
        <x:v>6</x:v>
      </x:c>
      <x:c r="G136" s="52" t="str">
        <x:v>Diploma</x:v>
      </x:c>
      <x:c r="H136" s="52" t="str">
        <x:v>On campus / in-person (may include blended components)</x:v>
      </x:c>
      <x:c r="I136" s="52" t="str">
        <x:v>Yes — provider publishes international/on-campus availability</x:v>
      </x:c>
      <x:c r="J136" s="52" t="str">
        <x:v>Dunedin; Auckland</x:v>
      </x:c>
      <x:c r="K136" s="52" t="str">
        <x:v>2 years full-time</x:v>
      </x:c>
      <x:c r="L136" s="52" t="str">
        <x:v>October 2026</x:v>
      </x:c>
      <x:c r="M136" s="52" t="str">
        <x:v>Dunedin: Feb / Jul 2027; Auckland: Feb / Apr / Jul / Oct 2027</x:v>
      </x:c>
      <x:c r="N136" s="52" t="str">
        <x:v>$26,900; scholarship $23,400; Auckland Oct 2026 $26,572 / $23,100 with scholarship</x:v>
      </x:c>
      <x:c r="O136" s="52" t="str">
        <x:v>First year / per year</x:v>
      </x:c>
      <x:c r="P136" s="52" t="str">
        <x:v>2026</x:v>
      </x:c>
      <x:c r="Q136" s="52" t="str">
        <x:v>Not published; 2026 fee shown only</x:v>
      </x:c>
      <x:c r="R136" s="52" t="str">
        <x:v>See the official programme page for the programme-specific academic and subject requirements.</x:v>
      </x:c>
      <x:c r="S136" s="52" t="str">
        <x:v>See the official programme page; commonly IELTS 6.0 (no band below 5.5) for Levels 6–7 and IELTS 6.5 (no band below 6.0) for Level 9.</x:v>
      </x:c>
      <x:c r="T136" s="52"/>
      <x:c r="U136" s="52" t="str">
        <x:v>Otago Polytechnic international scholarship discount is shown in the fee field where published.</x:v>
      </x:c>
      <x:c r="V136" s="58" t="str">
        <x:v>https://www.op.ac.nz/programmes/nzqa/new-zealand-diploma-in-construction-level-6-quantity-surveying</x:v>
      </x:c>
      <x:c r="W136" s="58" t="str">
        <x:v>https://www.op.ac.nz/international</x:v>
      </x:c>
      <x:c r="X136" s="52" t="str">
        <x:v>2026-07-29</x:v>
      </x:c>
      <x:c r="Y136" s="52" t="str">
        <x:v>Double-checked: live programme page + official international source</x:v>
      </x:c>
      <x:c r="Z136" s="52" t="str">
        <x:v>Physical Dunedin/Auckland occurrences only. 2027 tuition has not been relabelled from the 2026 amount.</x:v>
      </x:c>
      <x:c r="AA136" s="52"/>
      <x:c r="AB136" s="52" t="str">
        <x:v>Published by provider</x:v>
      </x:c>
      <x:c r="AC136" s="53" t="str">
        <x:v>Dunedin: Feb / Jul 2027; Auckland: Feb / Apr / Jul / Oct 2027</x:v>
      </x:c>
    </x:row>
    <x:row r="137" ht="48" customHeight="1">
      <x:c r="A137" s="45" t="str">
        <x:v>Southern Institute of Technology</x:v>
      </x:c>
      <x:c r="B137" s="46" t="str">
        <x:v>SIT</x:v>
      </x:c>
      <x:c r="C137" s="46" t="str">
        <x:v>Business &amp; Management</x:v>
      </x:c>
      <x:c r="D137" s="46" t="str">
        <x:v>Bachelor of Accounting</x:v>
      </x:c>
      <x:c r="E137" s="46"/>
      <x:c r="F137" s="46" t="n">
        <x:v>7</x:v>
      </x:c>
      <x:c r="G137" s="46" t="str">
        <x:v>Bachelor's Degree</x:v>
      </x:c>
      <x:c r="H137" s="46" t="str">
        <x:v>On campus / in-person (may include blended components)</x:v>
      </x:c>
      <x:c r="I137" s="46" t="str">
        <x:v>Yes — provider publishes international/on-campus availability</x:v>
      </x:c>
      <x:c r="J137" s="46" t="str">
        <x:v>Invercargill (HyFlex option available)</x:v>
      </x:c>
      <x:c r="K137" s="46" t="str">
        <x:v>Three years full-time; Part-time study is available</x:v>
      </x:c>
      <x:c r="L137" s="46" t="str">
        <x:v>2026 Semester 3: 23 November to 29 January</x:v>
      </x:c>
      <x:c r="M137" s="46" t="str">
        <x:v>2027 Semester 1: 15 February to 25 June; 2027 Semester 2: 12 July to 19 November</x:v>
      </x:c>
      <x:c r="N137" s="46" t="str">
        <x:v>$19,000 tuition + $1,800 resource fee = $20,800</x:v>
      </x:c>
      <x:c r="O137" s="46" t="str">
        <x:v>2026 international programme guide</x:v>
      </x:c>
      <x:c r="P137" s="46" t="str">
        <x:v>2026</x:v>
      </x:c>
      <x:c r="Q137" s="46" t="str">
        <x:v>Not published; 2026 fee shown only</x:v>
      </x:c>
      <x:c r="R137" s="46"/>
      <x:c r="S137" s="46" t="str">
        <x:v>for International Ākonga Web-page. Suggested Courses About Us News Events Contact us FAQs Site map Campuses Invercargill SIT Online Queenstown Gore Telford Telford Distance HyFlex Distance Learning Courses Fees &amp; Enrolments Students International Research Enrolling Now Zero Fees Vacancies MYSIT Terms of use Copyright © 2026 Southern Institute of Technology Privacy Notice</x:v>
      </x:c>
      <x:c r="T137" s="46"/>
      <x:c r="U137" s="46" t="str">
        <x:v>The 2026 international programme guide shows the scholarship embedded in the listed fee structure; English Zero Fees pathway may also apply.</x:v>
      </x:c>
      <x:c r="V137" s="59" t="str">
        <x:v>https://sit.ac.nz/programme/course/Bachelor%20of%20Accounting</x:v>
      </x:c>
      <x:c r="W137" s="59" t="str">
        <x:v>https://www.sit.ac.nz/Portals/0/upload/documents/Prospectus/International-Prospectus.pdf</x:v>
      </x:c>
      <x:c r="X137" s="46" t="str">
        <x:v>2026-07-29</x:v>
      </x:c>
      <x:c r="Y137" s="46" t="str">
        <x:v>Double-checked: live programme page + official international source</x:v>
      </x:c>
      <x:c r="Z137" s="46" t="str">
        <x:v>Distance-only programmes excluded. The 2026 guide amount is not relabelled as a 2027 fee.</x:v>
      </x:c>
      <x:c r="AA137" s="46"/>
      <x:c r="AB137" s="46" t="str">
        <x:v>Published by provider</x:v>
      </x:c>
      <x:c r="AC137" s="47" t="str">
        <x:v>2027 Semester 1: 15 February to 25 June; 2027 Semester 2: 12 July to 19 November</x:v>
      </x:c>
    </x:row>
    <x:row r="138" ht="48" customHeight="1">
      <x:c r="A138" s="51" t="str">
        <x:v>Southern Institute of Technology</x:v>
      </x:c>
      <x:c r="B138" s="52" t="str">
        <x:v>SIT</x:v>
      </x:c>
      <x:c r="C138" s="52" t="str">
        <x:v>Business &amp; Management</x:v>
      </x:c>
      <x:c r="D138" s="52" t="str">
        <x:v>Bachelor of Environmental Management</x:v>
      </x:c>
      <x:c r="E138" s="52"/>
      <x:c r="F138" s="52" t="n">
        <x:v>7</x:v>
      </x:c>
      <x:c r="G138" s="52" t="str">
        <x:v>Bachelor's Degree</x:v>
      </x:c>
      <x:c r="H138" s="52" t="str">
        <x:v>On campus / in-person (may include blended components)</x:v>
      </x:c>
      <x:c r="I138" s="52" t="str">
        <x:v>Yes — provider publishes international/on-campus availability</x:v>
      </x:c>
      <x:c r="J138" s="52" t="str">
        <x:v>Invercargill (HyFlex option available)</x:v>
      </x:c>
      <x:c r="K138" s="52" t="str">
        <x:v>Three years full-time; Part-time study is available</x:v>
      </x:c>
      <x:c r="L138" s="52"/>
      <x:c r="M138" s="52" t="str">
        <x:v>2027 Semester 1: 15 February to 02 July; 2027 Semester 2: 19 July to 12 November</x:v>
      </x:c>
      <x:c r="N138" s="52" t="str">
        <x:v>$19,000 tuition + $1,800 resource fee = $20,800</x:v>
      </x:c>
      <x:c r="O138" s="52" t="str">
        <x:v>2026 international programme guide</x:v>
      </x:c>
      <x:c r="P138" s="52" t="str">
        <x:v>2026</x:v>
      </x:c>
      <x:c r="Q138" s="52" t="str">
        <x:v>Not published; 2026 fee shown only</x:v>
      </x:c>
      <x:c r="R138" s="52"/>
      <x:c r="S138" s="52" t="str">
        <x:v>Applicants, whose first language is not English, or who come from a country where the language of instruction in schools is not English, are required to provide evidence of having achieved one of the following: NCEA Level 3 with University Entrance, oran International Baccalaureate Diploma or Cambridge A- level qualification for which the teaching and assessment was conducted in English, orCambridge Certificate in Teaching English to Speakers of Other Languages (CELTA), orTrinity College London Certificate in Teaching English to Speakers of Other Languages (CertTESOL), orSuccessful completion of all primary education (being the equivalent of </x:v>
      </x:c>
      <x:c r="T138" s="52"/>
      <x:c r="U138" s="52" t="str">
        <x:v>The 2026 international programme guide shows the scholarship embedded in the listed fee structure; English Zero Fees pathway may also apply.</x:v>
      </x:c>
      <x:c r="V138" s="58" t="str">
        <x:v>https://sit.ac.nz/programme/course/Bachelor%20of%20Environmental%20Management</x:v>
      </x:c>
      <x:c r="W138" s="58" t="str">
        <x:v>https://www.sit.ac.nz/Portals/0/upload/documents/Prospectus/International-Prospectus.pdf</x:v>
      </x:c>
      <x:c r="X138" s="52" t="str">
        <x:v>2026-07-29</x:v>
      </x:c>
      <x:c r="Y138" s="52" t="str">
        <x:v>Double-checked: live programme page + official international source</x:v>
      </x:c>
      <x:c r="Z138" s="52" t="str">
        <x:v>Distance-only programmes excluded. The 2026 guide amount is not relabelled as a 2027 fee.</x:v>
      </x:c>
      <x:c r="AA138" s="52"/>
      <x:c r="AB138" s="52" t="str">
        <x:v>Published by provider</x:v>
      </x:c>
      <x:c r="AC138" s="53" t="str">
        <x:v>2027 Semester 1: 15 February to 02 July; 2027 Semester 2: 19 July to 12 November</x:v>
      </x:c>
    </x:row>
    <x:row r="139" ht="48" customHeight="1">
      <x:c r="A139" s="45" t="str">
        <x:v>Southern Institute of Technology</x:v>
      </x:c>
      <x:c r="B139" s="46" t="str">
        <x:v>SIT</x:v>
      </x:c>
      <x:c r="C139" s="46" t="str">
        <x:v>Business &amp; Management</x:v>
      </x:c>
      <x:c r="D139" s="46" t="str">
        <x:v>Graduate Certificate in Management</x:v>
      </x:c>
      <x:c r="E139" s="46"/>
      <x:c r="F139" s="46" t="n">
        <x:v>7</x:v>
      </x:c>
      <x:c r="G139" s="46" t="str">
        <x:v>Graduate Certificate</x:v>
      </x:c>
      <x:c r="H139" s="46" t="str">
        <x:v>On campus / in-person (may include blended components)</x:v>
      </x:c>
      <x:c r="I139" s="46" t="str">
        <x:v>Yes — provider publishes international/on-campus availability</x:v>
      </x:c>
      <x:c r="J139" s="46" t="str">
        <x:v>Invercargill</x:v>
      </x:c>
      <x:c r="K139" s="46" t="str">
        <x:v>One year full-time, Part-time is study is available</x:v>
      </x:c>
      <x:c r="L139" s="46"/>
      <x:c r="M139" s="46" t="str">
        <x:v>2027 Semester 1: 15 February to 25 June; 2027 Semester 2: 12 July to 19 November</x:v>
      </x:c>
      <x:c r="N139" s="46" t="str">
        <x:v>$19,000 tuition + $1,800 resource fee = $20,800</x:v>
      </x:c>
      <x:c r="O139" s="46" t="str">
        <x:v>2026 international programme guide</x:v>
      </x:c>
      <x:c r="P139" s="46" t="str">
        <x:v>2026</x:v>
      </x:c>
      <x:c r="Q139" s="46" t="str">
        <x:v>Not published; 2026 fee shown only</x:v>
      </x:c>
      <x:c r="R139" s="46"/>
      <x:c r="S139"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39" s="46"/>
      <x:c r="U139" s="46" t="str">
        <x:v>The 2026 international programme guide shows the scholarship embedded in the listed fee structure; English Zero Fees pathway may also apply.</x:v>
      </x:c>
      <x:c r="V139" s="59" t="str">
        <x:v>https://sit.ac.nz/programme/course/Graduate%20Certificate%20in%20Management</x:v>
      </x:c>
      <x:c r="W139" s="59" t="str">
        <x:v>https://www.sit.ac.nz/Portals/0/upload/documents/Prospectus/International-Prospectus.pdf</x:v>
      </x:c>
      <x:c r="X139" s="46" t="str">
        <x:v>2026-07-29</x:v>
      </x:c>
      <x:c r="Y139" s="46" t="str">
        <x:v>Double-checked: live programme page + official international source</x:v>
      </x:c>
      <x:c r="Z139" s="46" t="str">
        <x:v>Distance-only programmes excluded. The 2026 guide amount is not relabelled as a 2027 fee.</x:v>
      </x:c>
      <x:c r="AA139" s="46"/>
      <x:c r="AB139" s="46" t="str">
        <x:v>Published by provider</x:v>
      </x:c>
      <x:c r="AC139" s="47" t="str">
        <x:v>2027 Semester 1: 15 February to 25 June; 2027 Semester 2: 12 July to 19 November</x:v>
      </x:c>
    </x:row>
    <x:row r="140" ht="48" customHeight="1">
      <x:c r="A140" s="51" t="str">
        <x:v>Southern Institute of Technology</x:v>
      </x:c>
      <x:c r="B140" s="52" t="str">
        <x:v>SIT</x:v>
      </x:c>
      <x:c r="C140" s="52" t="str">
        <x:v>Business &amp; Management</x:v>
      </x:c>
      <x:c r="D140" s="52" t="str">
        <x:v>Graduate Diploma in Management</x:v>
      </x:c>
      <x:c r="E140" s="52"/>
      <x:c r="F140" s="52" t="n">
        <x:v>7</x:v>
      </x:c>
      <x:c r="G140" s="52" t="str">
        <x:v>Graduate Diploma</x:v>
      </x:c>
      <x:c r="H140" s="52" t="str">
        <x:v>On campus / in-person (may include blended components)</x:v>
      </x:c>
      <x:c r="I140" s="52" t="str">
        <x:v>Yes — provider publishes international/on-campus availability</x:v>
      </x:c>
      <x:c r="J140" s="52" t="str">
        <x:v>Invercargill</x:v>
      </x:c>
      <x:c r="K140" s="52" t="str">
        <x:v>One year full-time, Part-time study is available</x:v>
      </x:c>
      <x:c r="L140" s="52"/>
      <x:c r="M140" s="52" t="str">
        <x:v>2027 Semester 1: 15 February to 25 June; 2027 Semester 2: 12 July to 19 November</x:v>
      </x:c>
      <x:c r="N140" s="52" t="str">
        <x:v>$19,000 tuition + $1,800 resource fee = $20,800</x:v>
      </x:c>
      <x:c r="O140" s="52" t="str">
        <x:v>2026 international programme guide</x:v>
      </x:c>
      <x:c r="P140" s="52" t="str">
        <x:v>2026</x:v>
      </x:c>
      <x:c r="Q140" s="52" t="str">
        <x:v>Not published; 2026 fee shown only</x:v>
      </x:c>
      <x:c r="R140" s="52"/>
      <x:c r="S140"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40" s="52"/>
      <x:c r="U140" s="52" t="str">
        <x:v>The 2026 international programme guide shows the scholarship embedded in the listed fee structure; English Zero Fees pathway may also apply.</x:v>
      </x:c>
      <x:c r="V140" s="58" t="str">
        <x:v>https://sit.ac.nz/programme/course/Graduate%20Diploma%20in%20Management</x:v>
      </x:c>
      <x:c r="W140" s="58" t="str">
        <x:v>https://www.sit.ac.nz/Portals/0/upload/documents/Prospectus/International-Prospectus.pdf</x:v>
      </x:c>
      <x:c r="X140" s="52" t="str">
        <x:v>2026-07-29</x:v>
      </x:c>
      <x:c r="Y140" s="52" t="str">
        <x:v>Double-checked: live programme page + official international source</x:v>
      </x:c>
      <x:c r="Z140" s="52" t="str">
        <x:v>Distance-only programmes excluded. The 2026 guide amount is not relabelled as a 2027 fee.</x:v>
      </x:c>
      <x:c r="AA140" s="52"/>
      <x:c r="AB140" s="52" t="str">
        <x:v>Published by provider</x:v>
      </x:c>
      <x:c r="AC140" s="53" t="str">
        <x:v>2027 Semester 1: 15 February to 25 June; 2027 Semester 2: 12 July to 19 November</x:v>
      </x:c>
    </x:row>
    <x:row r="141" ht="48" customHeight="1">
      <x:c r="A141" s="45" t="str">
        <x:v>Southern Institute of Technology</x:v>
      </x:c>
      <x:c r="B141" s="46" t="str">
        <x:v>SIT</x:v>
      </x:c>
      <x:c r="C141" s="46" t="str">
        <x:v>Business &amp; Management</x:v>
      </x:c>
      <x:c r="D141" s="46" t="str">
        <x:v>Graduate Diploma in Marketing</x:v>
      </x:c>
      <x:c r="E141" s="46"/>
      <x:c r="F141" s="46" t="n">
        <x:v>7</x:v>
      </x:c>
      <x:c r="G141" s="46" t="str">
        <x:v>Graduate Diploma</x:v>
      </x:c>
      <x:c r="H141" s="46" t="str">
        <x:v>On campus / in-person (may include blended components)</x:v>
      </x:c>
      <x:c r="I141" s="46" t="str">
        <x:v>Yes — provider publishes international/on-campus availability</x:v>
      </x:c>
      <x:c r="J141" s="46" t="str">
        <x:v>Invercargill</x:v>
      </x:c>
      <x:c r="K141" s="46" t="str">
        <x:v>One year full-time, Part-time study is available</x:v>
      </x:c>
      <x:c r="L141" s="46"/>
      <x:c r="M141" s="46" t="str">
        <x:v>2027 Semester 1: 15 February to 25 June; 2027 Semester 2: 12 July to 19 November</x:v>
      </x:c>
      <x:c r="N141" s="46" t="str">
        <x:v>$19,000 tuition + $1,800 resource fee = $20,800</x:v>
      </x:c>
      <x:c r="O141" s="46" t="str">
        <x:v>2026 international programme guide</x:v>
      </x:c>
      <x:c r="P141" s="46" t="str">
        <x:v>2026</x:v>
      </x:c>
      <x:c r="Q141" s="46" t="str">
        <x:v>Not published; 2026 fee shown only</x:v>
      </x:c>
      <x:c r="R141" s="46"/>
      <x:c r="S141"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41" s="46"/>
      <x:c r="U141" s="46" t="str">
        <x:v>The 2026 international programme guide shows the scholarship embedded in the listed fee structure; English Zero Fees pathway may also apply.</x:v>
      </x:c>
      <x:c r="V141" s="59" t="str">
        <x:v>https://sit.ac.nz/programme/course/Graduate%20Diploma%20in%20Marketing</x:v>
      </x:c>
      <x:c r="W141" s="59" t="str">
        <x:v>https://www.sit.ac.nz/Portals/0/upload/documents/Prospectus/International-Prospectus.pdf</x:v>
      </x:c>
      <x:c r="X141" s="46" t="str">
        <x:v>2026-07-29</x:v>
      </x:c>
      <x:c r="Y141" s="46" t="str">
        <x:v>Double-checked: live programme page + official international source</x:v>
      </x:c>
      <x:c r="Z141" s="46" t="str">
        <x:v>Distance-only programmes excluded. The 2026 guide amount is not relabelled as a 2027 fee.</x:v>
      </x:c>
      <x:c r="AA141" s="46"/>
      <x:c r="AB141" s="46" t="str">
        <x:v>Published by provider</x:v>
      </x:c>
      <x:c r="AC141" s="47" t="str">
        <x:v>2027 Semester 1: 15 February to 25 June; 2027 Semester 2: 12 July to 19 November</x:v>
      </x:c>
    </x:row>
    <x:row r="142" ht="48" customHeight="1">
      <x:c r="A142" s="51" t="str">
        <x:v>Southern Institute of Technology</x:v>
      </x:c>
      <x:c r="B142" s="52" t="str">
        <x:v>SIT</x:v>
      </x:c>
      <x:c r="C142" s="52" t="str">
        <x:v>Computing &amp; IT</x:v>
      </x:c>
      <x:c r="D142" s="52" t="str">
        <x:v>Master of Information Technology</x:v>
      </x:c>
      <x:c r="E142" s="52"/>
      <x:c r="F142" s="52" t="n">
        <x:v>9</x:v>
      </x:c>
      <x:c r="G142" s="52" t="str">
        <x:v>Master's Degree</x:v>
      </x:c>
      <x:c r="H142" s="52" t="str">
        <x:v>On campus / in-person (may include blended components)</x:v>
      </x:c>
      <x:c r="I142" s="52" t="str">
        <x:v>Yes — provider publishes international/on-campus availability</x:v>
      </x:c>
      <x:c r="J142" s="52" t="str">
        <x:v>Invercargill</x:v>
      </x:c>
      <x:c r="K142" s="52" t="str">
        <x:v>18 months full-time</x:v>
      </x:c>
      <x:c r="L142" s="52"/>
      <x:c r="M142" s="52" t="str">
        <x:v>2027 Semester 1: 15 February to 25 June; 2027 Semester 2: 12 July to 19 November</x:v>
      </x:c>
      <x:c r="N142" s="52" t="str">
        <x:v>$31,500 tuition + resource fee (programme-specific total in guide)</x:v>
      </x:c>
      <x:c r="O142" s="52" t="str">
        <x:v>2026 international programme guide</x:v>
      </x:c>
      <x:c r="P142" s="52" t="str">
        <x:v>2026</x:v>
      </x:c>
      <x:c r="Q142" s="52" t="str">
        <x:v>Not published; 2026 fee shown only</x:v>
      </x:c>
      <x:c r="R142" s="52"/>
      <x:c r="S142"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 or Trinity College London Certificate in Teaching English to Speakers of Other Languages (CertTESOL); orSuccessful completion of all primary education (being the equivalent of </x:v>
      </x:c>
      <x:c r="T142" s="52"/>
      <x:c r="U142" s="52" t="str">
        <x:v>The 2026 international programme guide shows the scholarship embedded in the listed fee structure; English Zero Fees pathway may also apply.</x:v>
      </x:c>
      <x:c r="V142" s="58" t="str">
        <x:v>https://sit.ac.nz/programme/course/Master%20of%20Information%20Technology</x:v>
      </x:c>
      <x:c r="W142" s="58" t="str">
        <x:v>https://www.sit.ac.nz/Portals/0/upload/documents/Prospectus/International-Prospectus.pdf</x:v>
      </x:c>
      <x:c r="X142" s="52" t="str">
        <x:v>2026-07-29</x:v>
      </x:c>
      <x:c r="Y142" s="52" t="str">
        <x:v>Double-checked: live programme page + official international source</x:v>
      </x:c>
      <x:c r="Z142" s="52" t="str">
        <x:v>Distance-only programmes excluded. The 2026 guide amount is not relabelled as a 2027 fee.</x:v>
      </x:c>
      <x:c r="AA142" s="52"/>
      <x:c r="AB142" s="52" t="str">
        <x:v>Published by provider</x:v>
      </x:c>
      <x:c r="AC142" s="53" t="str">
        <x:v>2027 Semester 1: 15 February to 25 June; 2027 Semester 2: 12 July to 19 November</x:v>
      </x:c>
    </x:row>
    <x:row r="143" ht="48" customHeight="1">
      <x:c r="A143" s="45" t="str">
        <x:v>Southern Institute of Technology</x:v>
      </x:c>
      <x:c r="B143" s="46" t="str">
        <x:v>SIT</x:v>
      </x:c>
      <x:c r="C143" s="46" t="str">
        <x:v>Computing &amp; IT</x:v>
      </x:c>
      <x:c r="D143" s="46" t="str">
        <x:v>Postgraduate Certificate in Information Technology</x:v>
      </x:c>
      <x:c r="E143" s="46"/>
      <x:c r="F143" s="46" t="n">
        <x:v>8</x:v>
      </x:c>
      <x:c r="G143" s="46" t="str">
        <x:v>Postgraduate Certificate</x:v>
      </x:c>
      <x:c r="H143" s="46" t="str">
        <x:v>On campus / in-person (may include blended components)</x:v>
      </x:c>
      <x:c r="I143" s="46" t="str">
        <x:v>Yes — provider publishes international/on-campus availability</x:v>
      </x:c>
      <x:c r="J143" s="46" t="str">
        <x:v>Invercargill</x:v>
      </x:c>
      <x:c r="K143" s="46" t="str">
        <x:v>20 weeks full-time</x:v>
      </x:c>
      <x:c r="L143" s="46"/>
      <x:c r="M143" s="46" t="str">
        <x:v>2027 Semester 1: 15 February to 25 June</x:v>
      </x:c>
      <x:c r="N143" s="46" t="str">
        <x:v>$21,500 tuition + $1,800 resource fee = $23,300</x:v>
      </x:c>
      <x:c r="O143" s="46" t="str">
        <x:v>2026 international programme guide</x:v>
      </x:c>
      <x:c r="P143" s="46" t="str">
        <x:v>2026</x:v>
      </x:c>
      <x:c r="Q143" s="46" t="str">
        <x:v>Not published; 2026 fee shown only</x:v>
      </x:c>
      <x:c r="R143" s="46"/>
      <x:c r="S143"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 or Trinity College London Certificate in Teaching English to Speakers of Other Languages (CertTESOL); orSuccessful completion of all primary education (being the equivalent of </x:v>
      </x:c>
      <x:c r="T143" s="46"/>
      <x:c r="U143" s="46" t="str">
        <x:v>The 2026 international programme guide shows the scholarship embedded in the listed fee structure; English Zero Fees pathway may also apply.</x:v>
      </x:c>
      <x:c r="V143" s="59" t="str">
        <x:v>https://sit.ac.nz/programme/course/Postgraduate%20Certificate%20in%20Information%20Technology</x:v>
      </x:c>
      <x:c r="W143" s="59" t="str">
        <x:v>https://www.sit.ac.nz/Portals/0/upload/documents/Prospectus/International-Prospectus.pdf</x:v>
      </x:c>
      <x:c r="X143" s="46" t="str">
        <x:v>2026-07-29</x:v>
      </x:c>
      <x:c r="Y143" s="46" t="str">
        <x:v>Double-checked: live programme page + official international source</x:v>
      </x:c>
      <x:c r="Z143" s="46" t="str">
        <x:v>Distance-only programmes excluded. The 2026 guide amount is not relabelled as a 2027 fee.</x:v>
      </x:c>
      <x:c r="AA143" s="46"/>
      <x:c r="AB143" s="46" t="str">
        <x:v>Published by provider</x:v>
      </x:c>
      <x:c r="AC143" s="47" t="str">
        <x:v>2027 Semester 1: 15 February to 25 June</x:v>
      </x:c>
    </x:row>
    <x:row r="144" ht="48" customHeight="1">
      <x:c r="A144" s="51" t="str">
        <x:v>Southern Institute of Technology</x:v>
      </x:c>
      <x:c r="B144" s="52" t="str">
        <x:v>SIT</x:v>
      </x:c>
      <x:c r="C144" s="52" t="str">
        <x:v>Computing &amp; IT</x:v>
      </x:c>
      <x:c r="D144" s="52" t="str">
        <x:v>Postgraduate Diploma in Information Technology</x:v>
      </x:c>
      <x:c r="E144" s="52"/>
      <x:c r="F144" s="52" t="n">
        <x:v>8</x:v>
      </x:c>
      <x:c r="G144" s="52" t="str">
        <x:v>Postgraduate Diploma</x:v>
      </x:c>
      <x:c r="H144" s="52" t="str">
        <x:v>On campus / in-person (may include blended components)</x:v>
      </x:c>
      <x:c r="I144" s="52" t="str">
        <x:v>Yes — provider publishes international/on-campus availability</x:v>
      </x:c>
      <x:c r="J144" s="52" t="str">
        <x:v>Invercargill</x:v>
      </x:c>
      <x:c r="K144" s="52" t="str">
        <x:v>One year full-time</x:v>
      </x:c>
      <x:c r="L144" s="52"/>
      <x:c r="M144" s="52" t="str">
        <x:v>2027 Semester 1: 15 February to 25 June; 2027 Semester 2: 12 July to 19 November</x:v>
      </x:c>
      <x:c r="N144" s="52" t="str">
        <x:v>$21,500 tuition + $1,800 resource fee = $23,300</x:v>
      </x:c>
      <x:c r="O144" s="52" t="str">
        <x:v>2026 international programme guide</x:v>
      </x:c>
      <x:c r="P144" s="52" t="str">
        <x:v>2026</x:v>
      </x:c>
      <x:c r="Q144" s="52" t="str">
        <x:v>Not published; 2026 fee shown only</x:v>
      </x:c>
      <x:c r="R144" s="52"/>
      <x:c r="S144"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 or Trinity College London Certificate in Teaching English to Speakers of Other Languages (CertTESOL); orSuccessful completion of all primary education (being the equivalent of </x:v>
      </x:c>
      <x:c r="T144" s="52"/>
      <x:c r="U144" s="52" t="str">
        <x:v>The 2026 international programme guide shows the scholarship embedded in the listed fee structure; English Zero Fees pathway may also apply.</x:v>
      </x:c>
      <x:c r="V144" s="58" t="str">
        <x:v>https://sit.ac.nz/programme/course/Postgraduate%20Diploma%20in%20Information%20Technology</x:v>
      </x:c>
      <x:c r="W144" s="58" t="str">
        <x:v>https://www.sit.ac.nz/Portals/0/upload/documents/Prospectus/International-Prospectus.pdf</x:v>
      </x:c>
      <x:c r="X144" s="52" t="str">
        <x:v>2026-07-29</x:v>
      </x:c>
      <x:c r="Y144" s="52" t="str">
        <x:v>Double-checked: live programme page + official international source</x:v>
      </x:c>
      <x:c r="Z144" s="52" t="str">
        <x:v>Distance-only programmes excluded. The 2026 guide amount is not relabelled as a 2027 fee.</x:v>
      </x:c>
      <x:c r="AA144" s="52"/>
      <x:c r="AB144" s="52" t="str">
        <x:v>Published by provider</x:v>
      </x:c>
      <x:c r="AC144" s="53" t="str">
        <x:v>2027 Semester 1: 15 February to 25 June; 2027 Semester 2: 12 July to 19 November</x:v>
      </x:c>
    </x:row>
    <x:row r="145" ht="48" customHeight="1">
      <x:c r="A145" s="45" t="str">
        <x:v>Southern Institute of Technology</x:v>
      </x:c>
      <x:c r="B145" s="46" t="str">
        <x:v>SIT</x:v>
      </x:c>
      <x:c r="C145" s="46" t="str">
        <x:v>Computing &amp; IT</x:v>
      </x:c>
      <x:c r="D145" s="46" t="str">
        <x:v>Bachelor of Information Technology</x:v>
      </x:c>
      <x:c r="E145" s="46"/>
      <x:c r="F145" s="46" t="n">
        <x:v>7</x:v>
      </x:c>
      <x:c r="G145" s="46" t="str">
        <x:v>Bachelor's Degree</x:v>
      </x:c>
      <x:c r="H145" s="46" t="str">
        <x:v>On campus / in-person (may include blended components)</x:v>
      </x:c>
      <x:c r="I145" s="46" t="str">
        <x:v>Yes — provider publishes international/on-campus availability</x:v>
      </x:c>
      <x:c r="J145" s="46" t="str">
        <x:v>Invercargill</x:v>
      </x:c>
      <x:c r="K145" s="46" t="str">
        <x:v>Three years full-time; Part time study is also available</x:v>
      </x:c>
      <x:c r="L145" s="46"/>
      <x:c r="M145" s="46" t="str">
        <x:v>2027 Semester 1: 15 February to 25 June; 2027 Semester 2: 12 July to 19 November</x:v>
      </x:c>
      <x:c r="N145" s="46" t="str">
        <x:v>$19,000 tuition + $1,800 resource fee = $20,800</x:v>
      </x:c>
      <x:c r="O145" s="46" t="str">
        <x:v>2026 international programme guide</x:v>
      </x:c>
      <x:c r="P145" s="46" t="str">
        <x:v>2026</x:v>
      </x:c>
      <x:c r="Q145" s="46" t="str">
        <x:v>Not published; 2026 fee shown only</x:v>
      </x:c>
      <x:c r="R145" s="46"/>
      <x:c r="S145"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45" s="46"/>
      <x:c r="U145" s="46" t="str">
        <x:v>The 2026 international programme guide shows the scholarship embedded in the listed fee structure; English Zero Fees pathway may also apply.</x:v>
      </x:c>
      <x:c r="V145" s="59" t="str">
        <x:v>https://sit.ac.nz/programme/course/Bachelor%20of%20Information%20Technology</x:v>
      </x:c>
      <x:c r="W145" s="59" t="str">
        <x:v>https://www.sit.ac.nz/Portals/0/upload/documents/Prospectus/International-Prospectus.pdf</x:v>
      </x:c>
      <x:c r="X145" s="46" t="str">
        <x:v>2026-07-29</x:v>
      </x:c>
      <x:c r="Y145" s="46" t="str">
        <x:v>Double-checked: live programme page + official international source</x:v>
      </x:c>
      <x:c r="Z145" s="46" t="str">
        <x:v>Distance-only programmes excluded. The 2026 guide amount is not relabelled as a 2027 fee.</x:v>
      </x:c>
      <x:c r="AA145" s="46"/>
      <x:c r="AB145" s="46" t="str">
        <x:v>Published by provider</x:v>
      </x:c>
      <x:c r="AC145" s="47" t="str">
        <x:v>2027 Semester 1: 15 February to 25 June; 2027 Semester 2: 12 July to 19 November</x:v>
      </x:c>
    </x:row>
    <x:row r="146" ht="48" customHeight="1">
      <x:c r="A146" s="51" t="str">
        <x:v>Southern Institute of Technology</x:v>
      </x:c>
      <x:c r="B146" s="52" t="str">
        <x:v>SIT</x:v>
      </x:c>
      <x:c r="C146" s="52" t="str">
        <x:v>Computing &amp; IT</x:v>
      </x:c>
      <x:c r="D146" s="52" t="str">
        <x:v>New Zealand Certificate in Information Technology (Level 5)</x:v>
      </x:c>
      <x:c r="E146" s="52"/>
      <x:c r="F146" s="52" t="n">
        <x:v>5</x:v>
      </x:c>
      <x:c r="G146" s="52" t="str">
        <x:v>Certificate</x:v>
      </x:c>
      <x:c r="H146" s="52" t="str">
        <x:v>On campus / in-person (may include blended components)</x:v>
      </x:c>
      <x:c r="I146" s="52" t="str">
        <x:v>Yes — provider publishes international/on-campus availability</x:v>
      </x:c>
      <x:c r="J146" s="52" t="str">
        <x:v>Invercargill</x:v>
      </x:c>
      <x:c r="K146" s="52" t="str">
        <x:v>20 weeks full-time</x:v>
      </x:c>
      <x:c r="L146" s="52"/>
      <x:c r="M146" s="52" t="str">
        <x:v>2027 Semester 1: 15 February to 25 June</x:v>
      </x:c>
      <x:c r="N146" s="52" t="str">
        <x:v>$19,000 tuition + $1,800 resource fee = $20,800</x:v>
      </x:c>
      <x:c r="O146" s="52" t="str">
        <x:v>2026 international programme guide</x:v>
      </x:c>
      <x:c r="P146" s="52" t="str">
        <x:v>2026</x:v>
      </x:c>
      <x:c r="Q146" s="52" t="str">
        <x:v>Not published; 2026 fee shown only</x:v>
      </x:c>
      <x:c r="R146" s="52"/>
      <x:c r="S146"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46" s="52"/>
      <x:c r="U146" s="52" t="str">
        <x:v>The 2026 international programme guide shows the scholarship embedded in the listed fee structure; English Zero Fees pathway may also apply.</x:v>
      </x:c>
      <x:c r="V146" s="58" t="str">
        <x:v>https://sit.ac.nz/programme/course/New%20Zealand%20Certificate%20in%20Information%20Technology%20(Level%205)</x:v>
      </x:c>
      <x:c r="W146" s="58" t="str">
        <x:v>https://www.sit.ac.nz/Portals/0/upload/documents/Prospectus/International-Prospectus.pdf</x:v>
      </x:c>
      <x:c r="X146" s="52" t="str">
        <x:v>2026-07-29</x:v>
      </x:c>
      <x:c r="Y146" s="52" t="str">
        <x:v>Double-checked: live programme page + official international source</x:v>
      </x:c>
      <x:c r="Z146" s="52" t="str">
        <x:v>Distance-only programmes excluded. The 2026 guide amount is not relabelled as a 2027 fee.</x:v>
      </x:c>
      <x:c r="AA146" s="52"/>
      <x:c r="AB146" s="52" t="str">
        <x:v>Published by provider</x:v>
      </x:c>
      <x:c r="AC146" s="53" t="str">
        <x:v>2027 Semester 1: 15 February to 25 June</x:v>
      </x:c>
    </x:row>
    <x:row r="147" ht="48" customHeight="1">
      <x:c r="A147" s="45" t="str">
        <x:v>Southern Institute of Technology</x:v>
      </x:c>
      <x:c r="B147" s="46" t="str">
        <x:v>SIT</x:v>
      </x:c>
      <x:c r="C147" s="46" t="str">
        <x:v>Construction &amp; Architecture</x:v>
      </x:c>
      <x:c r="D147" s="46" t="str">
        <x:v>New Zealand Diploma in Architectural Technology</x:v>
      </x:c>
      <x:c r="E147" s="46"/>
      <x:c r="F147" s="46" t="n">
        <x:v>6</x:v>
      </x:c>
      <x:c r="G147" s="46" t="str">
        <x:v>Diploma</x:v>
      </x:c>
      <x:c r="H147" s="46" t="str">
        <x:v>On campus / in-person (may include blended components)</x:v>
      </x:c>
      <x:c r="I147" s="46" t="str">
        <x:v>Yes — provider publishes international/on-campus availability</x:v>
      </x:c>
      <x:c r="J147" s="46" t="str">
        <x:v>Invercargill</x:v>
      </x:c>
      <x:c r="K147" s="46" t="str">
        <x:v>Two years, full-time; Part-time study is available.</x:v>
      </x:c>
      <x:c r="L147" s="46"/>
      <x:c r="M147" s="46" t="str">
        <x:v>2027 Semester 1: 15 February to 02 July; 2027 Semester 2: 28 June to 19 November</x:v>
      </x:c>
      <x:c r="N147" s="46" t="str">
        <x:v>$19,000 tuition + $1,800 resource fee = $20,800</x:v>
      </x:c>
      <x:c r="O147" s="46" t="str">
        <x:v>2026 international programme guide</x:v>
      </x:c>
      <x:c r="P147" s="46" t="str">
        <x:v>2026</x:v>
      </x:c>
      <x:c r="Q147" s="46" t="str">
        <x:v>Not published; 2026 fee shown only</x:v>
      </x:c>
      <x:c r="R147" s="46"/>
      <x:c r="S147"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47" s="46"/>
      <x:c r="U147" s="46" t="str">
        <x:v>The 2026 international programme guide shows the scholarship embedded in the listed fee structure; English Zero Fees pathway may also apply.</x:v>
      </x:c>
      <x:c r="V147" s="59" t="str">
        <x:v>https://sit.ac.nz/programme/course/New%20Zealand%20Diploma%20in%20Architectural%20Technology</x:v>
      </x:c>
      <x:c r="W147" s="59" t="str">
        <x:v>https://www.sit.ac.nz/Portals/0/upload/documents/Prospectus/International-Prospectus.pdf</x:v>
      </x:c>
      <x:c r="X147" s="46" t="str">
        <x:v>2026-07-29</x:v>
      </x:c>
      <x:c r="Y147" s="46" t="str">
        <x:v>Double-checked: live programme page + official international source</x:v>
      </x:c>
      <x:c r="Z147" s="46" t="str">
        <x:v>Distance-only programmes excluded. The 2026 guide amount is not relabelled as a 2027 fee.</x:v>
      </x:c>
      <x:c r="AA147" s="46"/>
      <x:c r="AB147" s="46" t="str">
        <x:v>Published by provider</x:v>
      </x:c>
      <x:c r="AC147" s="47" t="str">
        <x:v>2027 Semester 1: 15 February to 02 July; 2027 Semester 2: 28 June to 19 November</x:v>
      </x:c>
    </x:row>
    <x:row r="148" ht="48" customHeight="1">
      <x:c r="A148" s="51" t="str">
        <x:v>Southern Institute of Technology</x:v>
      </x:c>
      <x:c r="B148" s="52" t="str">
        <x:v>SIT</x:v>
      </x:c>
      <x:c r="C148" s="52" t="str">
        <x:v>Construction &amp; Architecture</x:v>
      </x:c>
      <x:c r="D148" s="52" t="str">
        <x:v>New Zealand Diploma in Construction (Quantity Surveying) (Level 6)</x:v>
      </x:c>
      <x:c r="E148" s="52"/>
      <x:c r="F148" s="52" t="n">
        <x:v>6</x:v>
      </x:c>
      <x:c r="G148" s="52" t="str">
        <x:v>Diploma</x:v>
      </x:c>
      <x:c r="H148" s="52" t="str">
        <x:v>On campus / in-person (may include blended components)</x:v>
      </x:c>
      <x:c r="I148" s="52" t="str">
        <x:v>Yes — provider publishes international/on-campus availability</x:v>
      </x:c>
      <x:c r="J148" s="52" t="str">
        <x:v>Invercargill</x:v>
      </x:c>
      <x:c r="K148" s="52" t="str">
        <x:v>Two years, full-time; Part-time study is available.</x:v>
      </x:c>
      <x:c r="L148" s="52"/>
      <x:c r="M148" s="52" t="str">
        <x:v>2027 Semester 1: 16 February to 02 July; 2027 Semester 2: 28 June to 19 November</x:v>
      </x:c>
      <x:c r="N148" s="52" t="str">
        <x:v>$19,000 tuition + $1,800 resource fee = $20,800</x:v>
      </x:c>
      <x:c r="O148" s="52" t="str">
        <x:v>2026 international programme guide</x:v>
      </x:c>
      <x:c r="P148" s="52" t="str">
        <x:v>2026</x:v>
      </x:c>
      <x:c r="Q148" s="52" t="str">
        <x:v>Not published; 2026 fee shown only</x:v>
      </x:c>
      <x:c r="R148" s="52"/>
      <x:c r="S148"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48" s="52"/>
      <x:c r="U148" s="52" t="str">
        <x:v>The 2026 international programme guide shows the scholarship embedded in the listed fee structure; English Zero Fees pathway may also apply.</x:v>
      </x:c>
      <x:c r="V148" s="58" t="str">
        <x:v>https://sit.ac.nz/programme/course/New%20Zealand%20Diploma%20in%20Construction%20(Quantity%20Surveying)%20(Level%206)</x:v>
      </x:c>
      <x:c r="W148" s="58" t="str">
        <x:v>https://www.sit.ac.nz/Portals/0/upload/documents/Prospectus/International-Prospectus.pdf</x:v>
      </x:c>
      <x:c r="X148" s="52" t="str">
        <x:v>2026-07-29</x:v>
      </x:c>
      <x:c r="Y148" s="52" t="str">
        <x:v>Double-checked: live programme page + official international source</x:v>
      </x:c>
      <x:c r="Z148" s="52" t="str">
        <x:v>Distance-only programmes excluded. The 2026 guide amount is not relabelled as a 2027 fee.</x:v>
      </x:c>
      <x:c r="AA148" s="52"/>
      <x:c r="AB148" s="52" t="str">
        <x:v>Published by provider</x:v>
      </x:c>
      <x:c r="AC148" s="53" t="str">
        <x:v>2027 Semester 1: 16 February to 02 July; 2027 Semester 2: 28 June to 19 November</x:v>
      </x:c>
    </x:row>
    <x:row r="149" ht="48" customHeight="1">
      <x:c r="A149" s="45" t="str">
        <x:v>Southern Institute of Technology</x:v>
      </x:c>
      <x:c r="B149" s="46" t="str">
        <x:v>SIT</x:v>
      </x:c>
      <x:c r="C149" s="46" t="str">
        <x:v>Creative Arts &amp; Media</x:v>
      </x:c>
      <x:c r="D149" s="46" t="str">
        <x:v>Bachelor of Audio Production</x:v>
      </x:c>
      <x:c r="E149" s="46"/>
      <x:c r="F149" s="46" t="n">
        <x:v>7</x:v>
      </x:c>
      <x:c r="G149" s="46" t="str">
        <x:v>Bachelor's Degree</x:v>
      </x:c>
      <x:c r="H149" s="46" t="str">
        <x:v>On campus / in-person (may include blended components)</x:v>
      </x:c>
      <x:c r="I149" s="46" t="str">
        <x:v>Yes — provider publishes international/on-campus availability</x:v>
      </x:c>
      <x:c r="J149" s="46" t="str">
        <x:v>Invercargill</x:v>
      </x:c>
      <x:c r="K149" s="46" t="str">
        <x:v>Three years full-time</x:v>
      </x:c>
      <x:c r="L149" s="46"/>
      <x:c r="M149" s="46" t="str">
        <x:v>2027 Semester 1: 15 February to 25 June; 2027 Semester 2: 12 July to 19 November</x:v>
      </x:c>
      <x:c r="N149" s="46" t="str">
        <x:v>$19,000 tuition + $1,800 resource fee = $20,800</x:v>
      </x:c>
      <x:c r="O149" s="46" t="str">
        <x:v>2026 international programme guide</x:v>
      </x:c>
      <x:c r="P149" s="46" t="str">
        <x:v>2026</x:v>
      </x:c>
      <x:c r="Q149" s="46" t="str">
        <x:v>Not published; 2026 fee shown only</x:v>
      </x:c>
      <x:c r="R149" s="46"/>
      <x:c r="S149"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49" s="46"/>
      <x:c r="U149" s="46" t="str">
        <x:v>The 2026 international programme guide shows the scholarship embedded in the listed fee structure; English Zero Fees pathway may also apply.</x:v>
      </x:c>
      <x:c r="V149" s="59" t="str">
        <x:v>https://sit.ac.nz/programme/course/Bachelor%20of%20Audio%20Production</x:v>
      </x:c>
      <x:c r="W149" s="59" t="str">
        <x:v>https://www.sit.ac.nz/Portals/0/upload/documents/Prospectus/International-Prospectus.pdf</x:v>
      </x:c>
      <x:c r="X149" s="46" t="str">
        <x:v>2026-07-29</x:v>
      </x:c>
      <x:c r="Y149" s="46" t="str">
        <x:v>Double-checked: live programme page + official international source</x:v>
      </x:c>
      <x:c r="Z149" s="46" t="str">
        <x:v>Distance-only programmes excluded. The 2026 guide amount is not relabelled as a 2027 fee.</x:v>
      </x:c>
      <x:c r="AA149" s="46"/>
      <x:c r="AB149" s="46" t="str">
        <x:v>Published by provider</x:v>
      </x:c>
      <x:c r="AC149" s="47" t="str">
        <x:v>2027 Semester 1: 15 February to 25 June; 2027 Semester 2: 12 July to 19 November</x:v>
      </x:c>
    </x:row>
    <x:row r="150" ht="48" customHeight="1">
      <x:c r="A150" s="51" t="str">
        <x:v>Southern Institute of Technology</x:v>
      </x:c>
      <x:c r="B150" s="52" t="str">
        <x:v>SIT</x:v>
      </x:c>
      <x:c r="C150" s="52" t="str">
        <x:v>Creative Arts &amp; Media</x:v>
      </x:c>
      <x:c r="D150" s="52" t="str">
        <x:v>Bachelor of Contemporary Music</x:v>
      </x:c>
      <x:c r="E150" s="52"/>
      <x:c r="F150" s="52" t="n">
        <x:v>7</x:v>
      </x:c>
      <x:c r="G150" s="52" t="str">
        <x:v>Bachelor's Degree</x:v>
      </x:c>
      <x:c r="H150" s="52" t="str">
        <x:v>On campus / in-person (may include blended components)</x:v>
      </x:c>
      <x:c r="I150" s="52" t="str">
        <x:v>Yes — provider publishes international/on-campus availability</x:v>
      </x:c>
      <x:c r="J150" s="52" t="str">
        <x:v>Invercargill</x:v>
      </x:c>
      <x:c r="K150" s="52" t="str">
        <x:v>Three years full-time</x:v>
      </x:c>
      <x:c r="L150" s="52"/>
      <x:c r="M150" s="52" t="str">
        <x:v>2027 Semester 1: 15 February to 19 November</x:v>
      </x:c>
      <x:c r="N150" s="52" t="str">
        <x:v>$19,000 tuition + $1,800 resource fee = $20,800</x:v>
      </x:c>
      <x:c r="O150" s="52" t="str">
        <x:v>2026 international programme guide</x:v>
      </x:c>
      <x:c r="P150" s="52" t="str">
        <x:v>2026</x:v>
      </x:c>
      <x:c r="Q150" s="52" t="str">
        <x:v>Not published; 2026 fee shown only</x:v>
      </x:c>
      <x:c r="R150" s="52"/>
      <x:c r="S150"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50" s="52"/>
      <x:c r="U150" s="52" t="str">
        <x:v>The 2026 international programme guide shows the scholarship embedded in the listed fee structure; English Zero Fees pathway may also apply.</x:v>
      </x:c>
      <x:c r="V150" s="58" t="str">
        <x:v>https://sit.ac.nz/programme/course/Bachelor%20of%20Contemporary%20Music</x:v>
      </x:c>
      <x:c r="W150" s="58" t="str">
        <x:v>https://www.sit.ac.nz/Portals/0/upload/documents/Prospectus/International-Prospectus.pdf</x:v>
      </x:c>
      <x:c r="X150" s="52" t="str">
        <x:v>2026-07-29</x:v>
      </x:c>
      <x:c r="Y150" s="52" t="str">
        <x:v>Double-checked: live programme page + official international source</x:v>
      </x:c>
      <x:c r="Z150" s="52" t="str">
        <x:v>Distance-only programmes excluded. The 2026 guide amount is not relabelled as a 2027 fee.</x:v>
      </x:c>
      <x:c r="AA150" s="52"/>
      <x:c r="AB150" s="52" t="str">
        <x:v>Published by provider</x:v>
      </x:c>
      <x:c r="AC150" s="53" t="str">
        <x:v>2027 Semester 1: 15 February to 19 November</x:v>
      </x:c>
    </x:row>
    <x:row r="151" ht="48" customHeight="1">
      <x:c r="A151" s="45" t="str">
        <x:v>Southern Institute of Technology</x:v>
      </x:c>
      <x:c r="B151" s="46" t="str">
        <x:v>SIT</x:v>
      </x:c>
      <x:c r="C151" s="46" t="str">
        <x:v>Creative Arts &amp; Media</x:v>
      </x:c>
      <x:c r="D151" s="46" t="str">
        <x:v>Graduate Diploma in Audio Production</x:v>
      </x:c>
      <x:c r="E151" s="46"/>
      <x:c r="F151" s="46" t="n">
        <x:v>7</x:v>
      </x:c>
      <x:c r="G151" s="46" t="str">
        <x:v>Graduate Diploma</x:v>
      </x:c>
      <x:c r="H151" s="46" t="str">
        <x:v>On campus / in-person (may include blended components)</x:v>
      </x:c>
      <x:c r="I151" s="46" t="str">
        <x:v>Yes — provider publishes international/on-campus availability</x:v>
      </x:c>
      <x:c r="J151" s="46" t="str">
        <x:v>Invercargill</x:v>
      </x:c>
      <x:c r="K151" s="46" t="str">
        <x:v>34 weeks full-time</x:v>
      </x:c>
      <x:c r="L151" s="46"/>
      <x:c r="M151" s="46" t="str">
        <x:v>2027 Semester 1: 15 February to 25 June; 2027 Semester 2: 12 July to 19 November</x:v>
      </x:c>
      <x:c r="N151" s="46" t="str">
        <x:v>$19,000 tuition + $1,800 resource fee = $20,800</x:v>
      </x:c>
      <x:c r="O151" s="46" t="str">
        <x:v>2026 international programme guide</x:v>
      </x:c>
      <x:c r="P151" s="46" t="str">
        <x:v>2026</x:v>
      </x:c>
      <x:c r="Q151" s="46" t="str">
        <x:v>Not published; 2026 fee shown only</x:v>
      </x:c>
      <x:c r="R151" s="46"/>
      <x:c r="S151"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51" s="46"/>
      <x:c r="U151" s="46" t="str">
        <x:v>The 2026 international programme guide shows the scholarship embedded in the listed fee structure; English Zero Fees pathway may also apply.</x:v>
      </x:c>
      <x:c r="V151" s="59" t="str">
        <x:v>https://sit.ac.nz/programme/course/Graduate%20Diploma%20in%20Audio%20Production</x:v>
      </x:c>
      <x:c r="W151" s="59" t="str">
        <x:v>https://www.sit.ac.nz/Portals/0/upload/documents/Prospectus/International-Prospectus.pdf</x:v>
      </x:c>
      <x:c r="X151" s="46" t="str">
        <x:v>2026-07-29</x:v>
      </x:c>
      <x:c r="Y151" s="46" t="str">
        <x:v>Double-checked: live programme page + official international source</x:v>
      </x:c>
      <x:c r="Z151" s="46" t="str">
        <x:v>Distance-only programmes excluded. The 2026 guide amount is not relabelled as a 2027 fee.</x:v>
      </x:c>
      <x:c r="AA151" s="46"/>
      <x:c r="AB151" s="46" t="str">
        <x:v>Published by provider</x:v>
      </x:c>
      <x:c r="AC151" s="47" t="str">
        <x:v>2027 Semester 1: 15 February to 25 June; 2027 Semester 2: 12 July to 19 November</x:v>
      </x:c>
    </x:row>
    <x:row r="152" ht="48" customHeight="1">
      <x:c r="A152" s="51" t="str">
        <x:v>Southern Institute of Technology</x:v>
      </x:c>
      <x:c r="B152" s="52" t="str">
        <x:v>SIT</x:v>
      </x:c>
      <x:c r="C152" s="52" t="str">
        <x:v>Creative Arts &amp; Media</x:v>
      </x:c>
      <x:c r="D152" s="52" t="str">
        <x:v>Graduate Diploma in Contemporary Music</x:v>
      </x:c>
      <x:c r="E152" s="52"/>
      <x:c r="F152" s="52" t="n">
        <x:v>7</x:v>
      </x:c>
      <x:c r="G152" s="52" t="str">
        <x:v>Graduate Diploma</x:v>
      </x:c>
      <x:c r="H152" s="52" t="str">
        <x:v>On campus / in-person (may include blended components)</x:v>
      </x:c>
      <x:c r="I152" s="52" t="str">
        <x:v>Yes — provider publishes international/on-campus availability</x:v>
      </x:c>
      <x:c r="J152" s="52" t="str">
        <x:v>Invercargill</x:v>
      </x:c>
      <x:c r="K152" s="52" t="str">
        <x:v>One year full-time</x:v>
      </x:c>
      <x:c r="L152" s="52"/>
      <x:c r="M152" s="52" t="str">
        <x:v>2027 Semester 1: 15 February to 25 June; 2027 Semester 2: 12 July to 19 November</x:v>
      </x:c>
      <x:c r="N152" s="52" t="str">
        <x:v>$19,000 tuition + $1,800 resource fee = $20,800</x:v>
      </x:c>
      <x:c r="O152" s="52" t="str">
        <x:v>2026 international programme guide</x:v>
      </x:c>
      <x:c r="P152" s="52" t="str">
        <x:v>2026</x:v>
      </x:c>
      <x:c r="Q152" s="52" t="str">
        <x:v>Not published; 2026 fee shown only</x:v>
      </x:c>
      <x:c r="R152" s="52"/>
      <x:c r="S152"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52" s="52"/>
      <x:c r="U152" s="52" t="str">
        <x:v>The 2026 international programme guide shows the scholarship embedded in the listed fee structure; English Zero Fees pathway may also apply.</x:v>
      </x:c>
      <x:c r="V152" s="58" t="str">
        <x:v>https://sit.ac.nz/programme/course/Graduate%20Diploma%20in%20Contemporary%20Music</x:v>
      </x:c>
      <x:c r="W152" s="58" t="str">
        <x:v>https://www.sit.ac.nz/Portals/0/upload/documents/Prospectus/International-Prospectus.pdf</x:v>
      </x:c>
      <x:c r="X152" s="52" t="str">
        <x:v>2026-07-29</x:v>
      </x:c>
      <x:c r="Y152" s="52" t="str">
        <x:v>Double-checked: live programme page + official international source</x:v>
      </x:c>
      <x:c r="Z152" s="52" t="str">
        <x:v>Distance-only programmes excluded. The 2026 guide amount is not relabelled as a 2027 fee.</x:v>
      </x:c>
      <x:c r="AA152" s="52"/>
      <x:c r="AB152" s="52" t="str">
        <x:v>Published by provider</x:v>
      </x:c>
      <x:c r="AC152" s="53" t="str">
        <x:v>2027 Semester 1: 15 February to 25 June; 2027 Semester 2: 12 July to 19 November</x:v>
      </x:c>
    </x:row>
    <x:row r="153" ht="48" customHeight="1">
      <x:c r="A153" s="45" t="str">
        <x:v>Southern Institute of Technology</x:v>
      </x:c>
      <x:c r="B153" s="46" t="str">
        <x:v>SIT</x:v>
      </x:c>
      <x:c r="C153" s="46" t="str">
        <x:v>Creative Arts &amp; Media</x:v>
      </x:c>
      <x:c r="D153" s="46" t="str">
        <x:v>Graduate Diploma in Screen Arts (3D Animation)</x:v>
      </x:c>
      <x:c r="E153" s="46"/>
      <x:c r="F153" s="46" t="n">
        <x:v>7</x:v>
      </x:c>
      <x:c r="G153" s="46" t="str">
        <x:v>Graduate Diploma</x:v>
      </x:c>
      <x:c r="H153" s="46" t="str">
        <x:v>On campus / in-person (may include blended components)</x:v>
      </x:c>
      <x:c r="I153" s="46" t="str">
        <x:v>Yes — provider publishes international/on-campus availability</x:v>
      </x:c>
      <x:c r="J153" s="46" t="str">
        <x:v>Invercargill</x:v>
      </x:c>
      <x:c r="K153" s="46" t="str">
        <x:v>One year full-time</x:v>
      </x:c>
      <x:c r="L153" s="46"/>
      <x:c r="M153" s="46" t="str">
        <x:v>2027 Semester 1: 15 February to 19 November</x:v>
      </x:c>
      <x:c r="N153" s="46" t="str">
        <x:v>$19,000 tuition + $1,800 resource fee = $20,800</x:v>
      </x:c>
      <x:c r="O153" s="46" t="str">
        <x:v>2026 international programme guide</x:v>
      </x:c>
      <x:c r="P153" s="46" t="str">
        <x:v>2026</x:v>
      </x:c>
      <x:c r="Q153" s="46" t="str">
        <x:v>Not published; 2026 fee shown only</x:v>
      </x:c>
      <x:c r="R153" s="46"/>
      <x:c r="S153"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 or Trinity College London Certificate in Teaching English to Speakers of Other Languages (CertTESOL); orSuccessful completion of all primary education (being the equivalent of N</x:v>
      </x:c>
      <x:c r="T153" s="46"/>
      <x:c r="U153" s="46" t="str">
        <x:v>The 2026 international programme guide shows the scholarship embedded in the listed fee structure; English Zero Fees pathway may also apply.</x:v>
      </x:c>
      <x:c r="V153" s="59" t="str">
        <x:v>https://sit.ac.nz/programme/course/Graduate%20Diploma%20in%20Screen%20Arts%20(3D%20Animation)</x:v>
      </x:c>
      <x:c r="W153" s="59" t="str">
        <x:v>https://www.sit.ac.nz/Portals/0/upload/documents/Prospectus/International-Prospectus.pdf</x:v>
      </x:c>
      <x:c r="X153" s="46" t="str">
        <x:v>2026-07-29</x:v>
      </x:c>
      <x:c r="Y153" s="46" t="str">
        <x:v>Double-checked: live programme page + official international source</x:v>
      </x:c>
      <x:c r="Z153" s="46" t="str">
        <x:v>Distance-only programmes excluded. The 2026 guide amount is not relabelled as a 2027 fee.</x:v>
      </x:c>
      <x:c r="AA153" s="46"/>
      <x:c r="AB153" s="46" t="str">
        <x:v>Published by provider</x:v>
      </x:c>
      <x:c r="AC153" s="47" t="str">
        <x:v>2027 Semester 1: 15 February to 19 November</x:v>
      </x:c>
    </x:row>
    <x:row r="154" ht="48" customHeight="1">
      <x:c r="A154" s="51" t="str">
        <x:v>Southern Institute of Technology</x:v>
      </x:c>
      <x:c r="B154" s="52" t="str">
        <x:v>SIT</x:v>
      </x:c>
      <x:c r="C154" s="52" t="str">
        <x:v>Creative Arts &amp; Media</x:v>
      </x:c>
      <x:c r="D154" s="52" t="str">
        <x:v>Graduate Diploma in Screen Arts (Film Making)</x:v>
      </x:c>
      <x:c r="E154" s="52"/>
      <x:c r="F154" s="52" t="n">
        <x:v>7</x:v>
      </x:c>
      <x:c r="G154" s="52" t="str">
        <x:v>Graduate Diploma</x:v>
      </x:c>
      <x:c r="H154" s="52" t="str">
        <x:v>On campus / in-person (may include blended components)</x:v>
      </x:c>
      <x:c r="I154" s="52" t="str">
        <x:v>Yes — provider publishes international/on-campus availability</x:v>
      </x:c>
      <x:c r="J154" s="52" t="str">
        <x:v>Invercargill</x:v>
      </x:c>
      <x:c r="K154" s="52" t="str">
        <x:v>One year full-time</x:v>
      </x:c>
      <x:c r="L154" s="52"/>
      <x:c r="M154" s="52" t="str">
        <x:v>2027 Semester 1: 15 February to 19 November</x:v>
      </x:c>
      <x:c r="N154" s="52" t="str">
        <x:v>$19,000 tuition + $1,800 resource fee = $20,800</x:v>
      </x:c>
      <x:c r="O154" s="52" t="str">
        <x:v>2026 international programme guide</x:v>
      </x:c>
      <x:c r="P154" s="52" t="str">
        <x:v>2026</x:v>
      </x:c>
      <x:c r="Q154" s="52" t="str">
        <x:v>Not published; 2026 fee shown only</x:v>
      </x:c>
      <x:c r="R154" s="52"/>
      <x:c r="S154"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54" s="52"/>
      <x:c r="U154" s="52" t="str">
        <x:v>The 2026 international programme guide shows the scholarship embedded in the listed fee structure; English Zero Fees pathway may also apply.</x:v>
      </x:c>
      <x:c r="V154" s="58" t="str">
        <x:v>https://sit.ac.nz/programme/course/Graduate%20Diploma%20in%20Screen%20Arts%20(Film%20Making)</x:v>
      </x:c>
      <x:c r="W154" s="58" t="str">
        <x:v>https://www.sit.ac.nz/Portals/0/upload/documents/Prospectus/International-Prospectus.pdf</x:v>
      </x:c>
      <x:c r="X154" s="52" t="str">
        <x:v>2026-07-29</x:v>
      </x:c>
      <x:c r="Y154" s="52" t="str">
        <x:v>Double-checked: live programme page + official international source</x:v>
      </x:c>
      <x:c r="Z154" s="52" t="str">
        <x:v>Distance-only programmes excluded. The 2026 guide amount is not relabelled as a 2027 fee.</x:v>
      </x:c>
      <x:c r="AA154" s="52"/>
      <x:c r="AB154" s="52" t="str">
        <x:v>Published by provider</x:v>
      </x:c>
      <x:c r="AC154" s="53" t="str">
        <x:v>2027 Semester 1: 15 February to 19 November</x:v>
      </x:c>
    </x:row>
    <x:row r="155" ht="48" customHeight="1">
      <x:c r="A155" s="45" t="str">
        <x:v>Southern Institute of Technology</x:v>
      </x:c>
      <x:c r="B155" s="46" t="str">
        <x:v>SIT</x:v>
      </x:c>
      <x:c r="C155" s="46" t="str">
        <x:v>Creative Arts &amp; Media</x:v>
      </x:c>
      <x:c r="D155" s="46" t="str">
        <x:v>New Zealand Diploma in Music (Level 6)</x:v>
      </x:c>
      <x:c r="E155" s="46"/>
      <x:c r="F155" s="46" t="n">
        <x:v>6</x:v>
      </x:c>
      <x:c r="G155" s="46" t="str">
        <x:v>Diploma</x:v>
      </x:c>
      <x:c r="H155" s="46" t="str">
        <x:v>On campus / in-person (may include blended components)</x:v>
      </x:c>
      <x:c r="I155" s="46" t="str">
        <x:v>Yes — provider publishes international/on-campus availability</x:v>
      </x:c>
      <x:c r="J155" s="46" t="str">
        <x:v>Invercargill</x:v>
      </x:c>
      <x:c r="K155" s="46" t="str">
        <x:v>Two years full-time</x:v>
      </x:c>
      <x:c r="L155" s="46"/>
      <x:c r="M155" s="46" t="str">
        <x:v>2027 Semester 1: 15 February to 19 November</x:v>
      </x:c>
      <x:c r="N155" s="46" t="str">
        <x:v>$19,000 tuition + $1,800 resource fee = $20,800</x:v>
      </x:c>
      <x:c r="O155" s="46" t="str">
        <x:v>2026 international programme guide</x:v>
      </x:c>
      <x:c r="P155" s="46" t="str">
        <x:v>2026</x:v>
      </x:c>
      <x:c r="Q155" s="46" t="str">
        <x:v>Not published; 2026 fee shown only</x:v>
      </x:c>
      <x:c r="R155" s="46"/>
      <x:c r="S155" s="46" t="str">
        <x:v>IELTS test - Academic score of 6 with no band score lower than 5.5TOEFL Paper based test (pBT) - Score of 550 (with an essay score 5 TWE)TOEFL Internet based test (iBT) - Score of 60 (w</x:v>
      </x:c>
      <x:c r="T155" s="46"/>
      <x:c r="U155" s="46" t="str">
        <x:v>The 2026 international programme guide shows the scholarship embedded in the listed fee structure; English Zero Fees pathway may also apply.</x:v>
      </x:c>
      <x:c r="V155" s="59" t="str">
        <x:v>https://sit.ac.nz/programme/course/New%20Zealand%20Diploma%20in%20Music%20(Level%206)</x:v>
      </x:c>
      <x:c r="W155" s="59" t="str">
        <x:v>https://www.sit.ac.nz/Portals/0/upload/documents/Prospectus/International-Prospectus.pdf</x:v>
      </x:c>
      <x:c r="X155" s="46" t="str">
        <x:v>2026-07-29</x:v>
      </x:c>
      <x:c r="Y155" s="46" t="str">
        <x:v>Double-checked: live programme page + official international source</x:v>
      </x:c>
      <x:c r="Z155" s="46" t="str">
        <x:v>Distance-only programmes excluded. The 2026 guide amount is not relabelled as a 2027 fee.</x:v>
      </x:c>
      <x:c r="AA155" s="46"/>
      <x:c r="AB155" s="46" t="str">
        <x:v>Published by provider</x:v>
      </x:c>
      <x:c r="AC155" s="47" t="str">
        <x:v>2027 Semester 1: 15 February to 19 November</x:v>
      </x:c>
    </x:row>
    <x:row r="156" ht="48" customHeight="1">
      <x:c r="A156" s="51" t="str">
        <x:v>Southern Institute of Technology</x:v>
      </x:c>
      <x:c r="B156" s="52" t="str">
        <x:v>SIT</x:v>
      </x:c>
      <x:c r="C156" s="52" t="str">
        <x:v>Creative Arts &amp; Media</x:v>
      </x:c>
      <x:c r="D156" s="52" t="str">
        <x:v>New Zealand Diploma in Animation (Level 5)</x:v>
      </x:c>
      <x:c r="E156" s="52"/>
      <x:c r="F156" s="52" t="n">
        <x:v>5</x:v>
      </x:c>
      <x:c r="G156" s="52" t="str">
        <x:v>Diploma</x:v>
      </x:c>
      <x:c r="H156" s="52" t="str">
        <x:v>On campus / in-person (may include blended components)</x:v>
      </x:c>
      <x:c r="I156" s="52" t="str">
        <x:v>Yes — provider publishes international/on-campus availability</x:v>
      </x:c>
      <x:c r="J156" s="52" t="str">
        <x:v>Invercargill (HyFlex option available)</x:v>
      </x:c>
      <x:c r="K156" s="52" t="str">
        <x:v>One year full-time</x:v>
      </x:c>
      <x:c r="L156" s="52"/>
      <x:c r="M156" s="52" t="str">
        <x:v>2027 Semester 1: 15 February to 19 November</x:v>
      </x:c>
      <x:c r="N156" s="52" t="str">
        <x:v>$19,000 tuition + $1,800 resource fee = $20,800</x:v>
      </x:c>
      <x:c r="O156" s="52" t="str">
        <x:v>2026 international programme guide</x:v>
      </x:c>
      <x:c r="P156" s="52" t="str">
        <x:v>2026</x:v>
      </x:c>
      <x:c r="Q156" s="52" t="str">
        <x:v>Not published; 2026 fee shown only</x:v>
      </x:c>
      <x:c r="R156" s="52"/>
      <x:c r="S156"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56" s="52"/>
      <x:c r="U156" s="52" t="str">
        <x:v>The 2026 international programme guide shows the scholarship embedded in the listed fee structure; English Zero Fees pathway may also apply.</x:v>
      </x:c>
      <x:c r="V156" s="58" t="str">
        <x:v>https://sit.ac.nz/programme/course/New%20Zealand%20Diploma%20in%20Animation%20(Level%205)</x:v>
      </x:c>
      <x:c r="W156" s="58" t="str">
        <x:v>https://www.sit.ac.nz/Portals/0/upload/documents/Prospectus/International-Prospectus.pdf</x:v>
      </x:c>
      <x:c r="X156" s="52" t="str">
        <x:v>2026-07-29</x:v>
      </x:c>
      <x:c r="Y156" s="52" t="str">
        <x:v>Double-checked: live programme page + official international source</x:v>
      </x:c>
      <x:c r="Z156" s="52" t="str">
        <x:v>Distance-only programmes excluded. The 2026 guide amount is not relabelled as a 2027 fee.</x:v>
      </x:c>
      <x:c r="AA156" s="52"/>
      <x:c r="AB156" s="52" t="str">
        <x:v>Published by provider</x:v>
      </x:c>
      <x:c r="AC156" s="53" t="str">
        <x:v>2027 Semester 1: 15 February to 19 November</x:v>
      </x:c>
    </x:row>
    <x:row r="157" ht="48" customHeight="1">
      <x:c r="A157" s="45" t="str">
        <x:v>Southern Institute of Technology</x:v>
      </x:c>
      <x:c r="B157" s="46" t="str">
        <x:v>SIT</x:v>
      </x:c>
      <x:c r="C157" s="46" t="str">
        <x:v>Creative Arts &amp; Media</x:v>
      </x:c>
      <x:c r="D157" s="46" t="str">
        <x:v>New Zealand Diploma in Music (Level 5)</x:v>
      </x:c>
      <x:c r="E157" s="46"/>
      <x:c r="F157" s="46" t="n">
        <x:v>5</x:v>
      </x:c>
      <x:c r="G157" s="46" t="str">
        <x:v>Diploma</x:v>
      </x:c>
      <x:c r="H157" s="46" t="str">
        <x:v>On campus / in-person (may include blended components)</x:v>
      </x:c>
      <x:c r="I157" s="46" t="str">
        <x:v>Yes — provider publishes international/on-campus availability</x:v>
      </x:c>
      <x:c r="J157" s="46" t="str">
        <x:v>Invercargill</x:v>
      </x:c>
      <x:c r="K157" s="46" t="str">
        <x:v>One year full-time; or two years part-time</x:v>
      </x:c>
      <x:c r="L157" s="46"/>
      <x:c r="M157" s="46" t="str">
        <x:v>2027 Semester 1: 15 February to 19 November</x:v>
      </x:c>
      <x:c r="N157" s="46" t="str">
        <x:v>$19,000 tuition + $1,800 resource fee = $20,800</x:v>
      </x:c>
      <x:c r="O157" s="46" t="str">
        <x:v>2026 international programme guide</x:v>
      </x:c>
      <x:c r="P157" s="46" t="str">
        <x:v>2026</x:v>
      </x:c>
      <x:c r="Q157" s="46" t="str">
        <x:v>Not published; 2026 fee shown only</x:v>
      </x:c>
      <x:c r="R157" s="46"/>
      <x:c r="S157"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 or Trinity College London Certificate in Teaching English to Speakers of Other Languages (CertTESOL); orSuccessful completion of all primary education (being the equivalent of </x:v>
      </x:c>
      <x:c r="T157" s="46"/>
      <x:c r="U157" s="46" t="str">
        <x:v>The 2026 international programme guide shows the scholarship embedded in the listed fee structure; English Zero Fees pathway may also apply.</x:v>
      </x:c>
      <x:c r="V157" s="59" t="str">
        <x:v>https://sit.ac.nz/programme/course/New%20Zealand%20Diploma%20in%20Music%20(Level%205)</x:v>
      </x:c>
      <x:c r="W157" s="59" t="str">
        <x:v>https://www.sit.ac.nz/Portals/0/upload/documents/Prospectus/International-Prospectus.pdf</x:v>
      </x:c>
      <x:c r="X157" s="46" t="str">
        <x:v>2026-07-29</x:v>
      </x:c>
      <x:c r="Y157" s="46" t="str">
        <x:v>Double-checked: live programme page + official international source</x:v>
      </x:c>
      <x:c r="Z157" s="46" t="str">
        <x:v>Distance-only programmes excluded. The 2026 guide amount is not relabelled as a 2027 fee.</x:v>
      </x:c>
      <x:c r="AA157" s="46"/>
      <x:c r="AB157" s="46" t="str">
        <x:v>Published by provider</x:v>
      </x:c>
      <x:c r="AC157" s="47" t="str">
        <x:v>2027 Semester 1: 15 February to 19 November</x:v>
      </x:c>
    </x:row>
    <x:row r="158" ht="48" customHeight="1">
      <x:c r="A158" s="51" t="str">
        <x:v>Southern Institute of Technology</x:v>
      </x:c>
      <x:c r="B158" s="52" t="str">
        <x:v>SIT</x:v>
      </x:c>
      <x:c r="C158" s="52" t="str">
        <x:v>Engineering</x:v>
      </x:c>
      <x:c r="D158" s="52" t="str">
        <x:v>Bachelor of Engineering Technology</x:v>
      </x:c>
      <x:c r="E158" s="52"/>
      <x:c r="F158" s="52" t="n">
        <x:v>7</x:v>
      </x:c>
      <x:c r="G158" s="52" t="str">
        <x:v>Bachelor's Degree</x:v>
      </x:c>
      <x:c r="H158" s="52" t="str">
        <x:v>On campus / in-person (may include blended components)</x:v>
      </x:c>
      <x:c r="I158" s="52" t="str">
        <x:v>Yes — provider publishes international/on-campus availability</x:v>
      </x:c>
      <x:c r="J158" s="52" t="str">
        <x:v>Invercargill</x:v>
      </x:c>
      <x:c r="K158" s="52" t="str">
        <x:v>Three years full-time</x:v>
      </x:c>
      <x:c r="L158" s="52"/>
      <x:c r="M158" s="52" t="str">
        <x:v>2027 Semester 1: 22 February to 02 July; 2027 Semester 2: 19 July to 26 November</x:v>
      </x:c>
      <x:c r="N158" s="52" t="str">
        <x:v>$19,500 tuition + $1,800 resource fee = $21,300</x:v>
      </x:c>
      <x:c r="O158" s="52" t="str">
        <x:v>2026 international programme guide</x:v>
      </x:c>
      <x:c r="P158" s="52" t="str">
        <x:v>2026</x:v>
      </x:c>
      <x:c r="Q158" s="52" t="str">
        <x:v>Not published; 2026 fee shown only</x:v>
      </x:c>
      <x:c r="R158" s="52"/>
      <x:c r="S158"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58" s="52"/>
      <x:c r="U158" s="52" t="str">
        <x:v>The 2026 international programme guide shows the scholarship embedded in the listed fee structure; English Zero Fees pathway may also apply.</x:v>
      </x:c>
      <x:c r="V158" s="58" t="str">
        <x:v>https://sit.ac.nz/programme/course/Bachelor%20of%20Engineering%20Technology</x:v>
      </x:c>
      <x:c r="W158" s="58" t="str">
        <x:v>https://www.sit.ac.nz/Portals/0/upload/documents/Prospectus/International-Prospectus.pdf</x:v>
      </x:c>
      <x:c r="X158" s="52" t="str">
        <x:v>2026-07-29</x:v>
      </x:c>
      <x:c r="Y158" s="52" t="str">
        <x:v>Double-checked: live programme page + official international source</x:v>
      </x:c>
      <x:c r="Z158" s="52" t="str">
        <x:v>Distance-only programmes excluded. The 2026 guide amount is not relabelled as a 2027 fee.</x:v>
      </x:c>
      <x:c r="AA158" s="52"/>
      <x:c r="AB158" s="52" t="str">
        <x:v>Published by provider</x:v>
      </x:c>
      <x:c r="AC158" s="53" t="str">
        <x:v>2027 Semester 1: 22 February to 02 July; 2027 Semester 2: 19 July to 26 November</x:v>
      </x:c>
    </x:row>
    <x:row r="159" ht="48" customHeight="1">
      <x:c r="A159" s="45" t="str">
        <x:v>Southern Institute of Technology</x:v>
      </x:c>
      <x:c r="B159" s="46" t="str">
        <x:v>SIT</x:v>
      </x:c>
      <x:c r="C159" s="46" t="str">
        <x:v>Engineering</x:v>
      </x:c>
      <x:c r="D159" s="46" t="str">
        <x:v>New Zealand Diploma in Audio Engineering and Production (Level 6)</x:v>
      </x:c>
      <x:c r="E159" s="46"/>
      <x:c r="F159" s="46" t="n">
        <x:v>6</x:v>
      </x:c>
      <x:c r="G159" s="46" t="str">
        <x:v>Diploma</x:v>
      </x:c>
      <x:c r="H159" s="46" t="str">
        <x:v>On campus / in-person (may include blended components)</x:v>
      </x:c>
      <x:c r="I159" s="46" t="str">
        <x:v>Yes — provider publishes international/on-campus availability</x:v>
      </x:c>
      <x:c r="J159" s="46" t="str">
        <x:v>Invercargill</x:v>
      </x:c>
      <x:c r="K159" s="46" t="str">
        <x:v>Two years full-time</x:v>
      </x:c>
      <x:c r="L159" s="46"/>
      <x:c r="M159" s="46" t="str">
        <x:v>2027 Semester 1: 15 February to 02 July; 2027 Semester 2: 12 July to 19 November</x:v>
      </x:c>
      <x:c r="N159" s="46" t="str">
        <x:v>$19,000 tuition + $1,800 resource fee = $20,800</x:v>
      </x:c>
      <x:c r="O159" s="46" t="str">
        <x:v>2026 international programme guide</x:v>
      </x:c>
      <x:c r="P159" s="46" t="str">
        <x:v>2026</x:v>
      </x:c>
      <x:c r="Q159" s="46" t="str">
        <x:v>Not published; 2026 fee shown only</x:v>
      </x:c>
      <x:c r="R159" s="46" t="str">
        <x:v>if they can demonstrate a history of work, industry experience which in the opinion of the Programme Managers exhibits a likelihood of success in the programme of studyConsideration will be given to students who progress through other TPP/MAINZ/SIT programme pathways (e.g. Foundation Sound and Music)Applicants may be required to attend an interview or provide a portfolio of audio related work.Language RequirementsApplicants from countries with an annual student visa approval rate of at least 80 per cent, whose first language is not English, or who come from a country where the language of instruction in schools is not English, are required to provide evidence of having achieved one of the following: NCEA Level 3 with University Entrance, or Certificate of Teaching English to Speakers of Ot</x:v>
      </x:c>
      <x:c r="S159" s="46" t="str">
        <x:v>IELTS test - Academic score of 6 with no band score lower than 5.5TOEFL Paper based test (pBT) - Score of 550 (with an essay score 5 TWE)TOEFL Internet based test (iBT) - Score of 60 (w</x:v>
      </x:c>
      <x:c r="T159" s="46"/>
      <x:c r="U159" s="46" t="str">
        <x:v>The 2026 international programme guide shows the scholarship embedded in the listed fee structure; English Zero Fees pathway may also apply.</x:v>
      </x:c>
      <x:c r="V159" s="59" t="str">
        <x:v>https://sit.ac.nz/programme/course/New%20Zealand%20Diploma%20in%20Audio%20Engineering%20and%20Production%20(Level%206)</x:v>
      </x:c>
      <x:c r="W159" s="59" t="str">
        <x:v>https://www.sit.ac.nz/Portals/0/upload/documents/Prospectus/International-Prospectus.pdf</x:v>
      </x:c>
      <x:c r="X159" s="46" t="str">
        <x:v>2026-07-29</x:v>
      </x:c>
      <x:c r="Y159" s="46" t="str">
        <x:v>Double-checked: live programme page + official international source</x:v>
      </x:c>
      <x:c r="Z159" s="46" t="str">
        <x:v>Distance-only programmes excluded. The 2026 guide amount is not relabelled as a 2027 fee.</x:v>
      </x:c>
      <x:c r="AA159" s="46"/>
      <x:c r="AB159" s="46" t="str">
        <x:v>Published by provider</x:v>
      </x:c>
      <x:c r="AC159" s="47" t="str">
        <x:v>2027 Semester 1: 15 February to 02 July; 2027 Semester 2: 12 July to 19 November</x:v>
      </x:c>
    </x:row>
    <x:row r="160" ht="48" customHeight="1">
      <x:c r="A160" s="51" t="str">
        <x:v>Southern Institute of Technology</x:v>
      </x:c>
      <x:c r="B160" s="52" t="str">
        <x:v>SIT</x:v>
      </x:c>
      <x:c r="C160" s="52" t="str">
        <x:v>Engineering</x:v>
      </x:c>
      <x:c r="D160" s="52" t="str">
        <x:v>New Zealand Diploma in Audio Engineering and Production (Level 5)</x:v>
      </x:c>
      <x:c r="E160" s="52"/>
      <x:c r="F160" s="52" t="n">
        <x:v>5</x:v>
      </x:c>
      <x:c r="G160" s="52" t="str">
        <x:v>Diploma</x:v>
      </x:c>
      <x:c r="H160" s="52" t="str">
        <x:v>On campus / in-person (may include blended components)</x:v>
      </x:c>
      <x:c r="I160" s="52" t="str">
        <x:v>Yes — provider publishes international/on-campus availability</x:v>
      </x:c>
      <x:c r="J160" s="52" t="str">
        <x:v>Invercargill</x:v>
      </x:c>
      <x:c r="K160" s="52" t="str">
        <x:v>One year full-time; or two years part-time</x:v>
      </x:c>
      <x:c r="L160" s="52"/>
      <x:c r="M160" s="52" t="str">
        <x:v>2027 Semester 1: 15 February to 02 July; 2027 Semester 2: 12 July to 19 November</x:v>
      </x:c>
      <x:c r="N160" s="52" t="str">
        <x:v>$19,000 tuition + $1,800 resource fee = $20,800</x:v>
      </x:c>
      <x:c r="O160" s="52" t="str">
        <x:v>2026 international programme guide</x:v>
      </x:c>
      <x:c r="P160" s="52" t="str">
        <x:v>2026</x:v>
      </x:c>
      <x:c r="Q160" s="52" t="str">
        <x:v>Not published; 2026 fee shown only</x:v>
      </x:c>
      <x:c r="R160" s="52"/>
      <x:c r="S160"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 or Trinity College London Certificate in Teaching English to Speakers of Other Languages (CertTESOL); orSuccessful completion of all primary education (being the equivalent of </x:v>
      </x:c>
      <x:c r="T160" s="52"/>
      <x:c r="U160" s="52" t="str">
        <x:v>The 2026 international programme guide shows the scholarship embedded in the listed fee structure; English Zero Fees pathway may also apply.</x:v>
      </x:c>
      <x:c r="V160" s="58" t="str">
        <x:v>https://sit.ac.nz/programme/course/New%20Zealand%20Diploma%20in%20Audio%20Engineering%20and%20Production%20(Level%205)</x:v>
      </x:c>
      <x:c r="W160" s="58" t="str">
        <x:v>https://www.sit.ac.nz/Portals/0/upload/documents/Prospectus/International-Prospectus.pdf</x:v>
      </x:c>
      <x:c r="X160" s="52" t="str">
        <x:v>2026-07-29</x:v>
      </x:c>
      <x:c r="Y160" s="52" t="str">
        <x:v>Double-checked: live programme page + official international source</x:v>
      </x:c>
      <x:c r="Z160" s="52" t="str">
        <x:v>Distance-only programmes excluded. The 2026 guide amount is not relabelled as a 2027 fee.</x:v>
      </x:c>
      <x:c r="AA160" s="52"/>
      <x:c r="AB160" s="52" t="str">
        <x:v>Published by provider</x:v>
      </x:c>
      <x:c r="AC160" s="53" t="str">
        <x:v>2027 Semester 1: 15 February to 02 July; 2027 Semester 2: 12 July to 19 November</x:v>
      </x:c>
    </x:row>
    <x:row r="161" ht="48" customHeight="1">
      <x:c r="A161" s="45" t="str">
        <x:v>Southern Institute of Technology</x:v>
      </x:c>
      <x:c r="B161" s="46" t="str">
        <x:v>SIT</x:v>
      </x:c>
      <x:c r="C161" s="46" t="str">
        <x:v>Health &amp; Nursing</x:v>
      </x:c>
      <x:c r="D161" s="46" t="str">
        <x:v>New Zealand Diploma in Health and Wellbeing (Practice and Applied Practice) (Level 5)</x:v>
      </x:c>
      <x:c r="E161" s="46"/>
      <x:c r="F161" s="46" t="n">
        <x:v>5</x:v>
      </x:c>
      <x:c r="G161" s="46" t="str">
        <x:v>Diploma</x:v>
      </x:c>
      <x:c r="H161" s="46" t="str">
        <x:v>On campus / in-person (may include blended components)</x:v>
      </x:c>
      <x:c r="I161" s="46" t="str">
        <x:v>Yes — provider publishes international/on-campus availability</x:v>
      </x:c>
      <x:c r="J161" s="46" t="str">
        <x:v>Invercargill</x:v>
      </x:c>
      <x:c r="K161" s="46" t="str">
        <x:v>One year full-time or two years part-time</x:v>
      </x:c>
      <x:c r="L161" s="46"/>
      <x:c r="M161" s="46" t="str">
        <x:v>2027 Semester 1: 03 February to 17 November</x:v>
      </x:c>
      <x:c r="N161" s="46" t="str">
        <x:v>$19,000 tuition + $1,800 resource fee = $20,800</x:v>
      </x:c>
      <x:c r="O161" s="46" t="str">
        <x:v>2026 international programme guide</x:v>
      </x:c>
      <x:c r="P161" s="46" t="str">
        <x:v>2026</x:v>
      </x:c>
      <x:c r="Q161" s="46" t="str">
        <x:v>Not published; 2026 fee shown only</x:v>
      </x:c>
      <x:c r="R161" s="46"/>
      <x:c r="S161"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61" s="46"/>
      <x:c r="U161" s="46" t="str">
        <x:v>The 2026 international programme guide shows the scholarship embedded in the listed fee structure; English Zero Fees pathway may also apply.</x:v>
      </x:c>
      <x:c r="V161" s="59" t="str">
        <x:v>https://sit.ac.nz/programme/course/New%20Zealand%20Diploma%20in%20Health%20and%20Wellbeing%20(Practice%20and%20Applied%20Practice)%20(Level%205)</x:v>
      </x:c>
      <x:c r="W161" s="59" t="str">
        <x:v>https://www.sit.ac.nz/Portals/0/upload/documents/Prospectus/International-Prospectus.pdf</x:v>
      </x:c>
      <x:c r="X161" s="46" t="str">
        <x:v>2026-07-29</x:v>
      </x:c>
      <x:c r="Y161" s="46" t="str">
        <x:v>Double-checked: live programme page + official international source</x:v>
      </x:c>
      <x:c r="Z161" s="46" t="str">
        <x:v>Distance-only programmes excluded. The 2026 guide amount is not relabelled as a 2027 fee.</x:v>
      </x:c>
      <x:c r="AA161" s="46"/>
      <x:c r="AB161" s="46" t="str">
        <x:v>Published by provider</x:v>
      </x:c>
      <x:c r="AC161" s="47" t="str">
        <x:v>2027 Semester 1: 03 February to 17 November</x:v>
      </x:c>
    </x:row>
    <x:row r="162" ht="48" customHeight="1">
      <x:c r="A162" s="51" t="str">
        <x:v>Southern Institute of Technology</x:v>
      </x:c>
      <x:c r="B162" s="52" t="str">
        <x:v>SIT</x:v>
      </x:c>
      <x:c r="C162" s="52" t="str">
        <x:v>Health &amp; Nursing</x:v>
      </x:c>
      <x:c r="D162" s="52" t="str">
        <x:v>New Zealand Certificate in Health and Wellbeing (Social and Community Services) (Level 4) with strand in Mental Health and Addiction Support</x:v>
      </x:c>
      <x:c r="E162" s="52"/>
      <x:c r="F162" s="52" t="n">
        <x:v>4</x:v>
      </x:c>
      <x:c r="G162" s="52" t="str">
        <x:v>Certificate</x:v>
      </x:c>
      <x:c r="H162" s="52" t="str">
        <x:v>On campus / in-person (may include blended components)</x:v>
      </x:c>
      <x:c r="I162" s="52" t="str">
        <x:v>Yes — provider publishes international/on-campus availability</x:v>
      </x:c>
      <x:c r="J162" s="52" t="str">
        <x:v>Invercargill</x:v>
      </x:c>
      <x:c r="K162" s="52" t="str">
        <x:v>One year full-time</x:v>
      </x:c>
      <x:c r="L162" s="52"/>
      <x:c r="M162" s="52" t="str">
        <x:v>2027 Semester 1: 10 February to 24 November</x:v>
      </x:c>
      <x:c r="N162" s="52" t="str">
        <x:v>$19,000 tuition + $1,800 resource fee = $20,800</x:v>
      </x:c>
      <x:c r="O162" s="52" t="str">
        <x:v>2026 international programme guide</x:v>
      </x:c>
      <x:c r="P162" s="52" t="str">
        <x:v>2026</x:v>
      </x:c>
      <x:c r="Q162" s="52" t="str">
        <x:v>Not published; 2026 fee shown only</x:v>
      </x:c>
      <x:c r="R162" s="52"/>
      <x:c r="S162"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62" s="52"/>
      <x:c r="U162" s="52" t="str">
        <x:v>The 2026 international programme guide shows the scholarship embedded in the listed fee structure; English Zero Fees pathway may also apply.</x:v>
      </x:c>
      <x:c r="V162" s="58" t="str">
        <x:v>https://sit.ac.nz/programme/course/New%20Zealand%20Certificate%20in%20Health%20and%20Wellbeing%20(Social%20and%20Community%20Services)%20(Level%204)%20with%20strand%20in%20Mental%20Health%20and%20Addiction%20Support</x:v>
      </x:c>
      <x:c r="W162" s="58" t="str">
        <x:v>https://www.sit.ac.nz/Portals/0/upload/documents/Prospectus/International-Prospectus.pdf</x:v>
      </x:c>
      <x:c r="X162" s="52" t="str">
        <x:v>2026-07-29</x:v>
      </x:c>
      <x:c r="Y162" s="52" t="str">
        <x:v>Double-checked: live programme page + official international source</x:v>
      </x:c>
      <x:c r="Z162" s="52" t="str">
        <x:v>Distance-only programmes excluded. The 2026 guide amount is not relabelled as a 2027 fee.</x:v>
      </x:c>
      <x:c r="AA162" s="52"/>
      <x:c r="AB162" s="52" t="str">
        <x:v>Published by provider</x:v>
      </x:c>
      <x:c r="AC162" s="53" t="str">
        <x:v>2027 Semester 1: 10 February to 24 November</x:v>
      </x:c>
    </x:row>
    <x:row r="163" ht="48" customHeight="1">
      <x:c r="A163" s="45" t="str">
        <x:v>Southern Institute of Technology</x:v>
      </x:c>
      <x:c r="B163" s="46" t="str">
        <x:v>SIT</x:v>
      </x:c>
      <x:c r="C163" s="46" t="str">
        <x:v>Health &amp; Nursing</x:v>
      </x:c>
      <x:c r="D163" s="46" t="str">
        <x:v>New Zealand Certificate in Health and Wellbeing (Social and Community Services) (Level 4) with strand in Social Services</x:v>
      </x:c>
      <x:c r="E163" s="46"/>
      <x:c r="F163" s="46" t="n">
        <x:v>4</x:v>
      </x:c>
      <x:c r="G163" s="46" t="str">
        <x:v>Certificate</x:v>
      </x:c>
      <x:c r="H163" s="46" t="str">
        <x:v>On campus / in-person (may include blended components)</x:v>
      </x:c>
      <x:c r="I163" s="46" t="str">
        <x:v>Yes — provider publishes international/on-campus availability</x:v>
      </x:c>
      <x:c r="J163" s="46" t="str">
        <x:v>Invercargill</x:v>
      </x:c>
      <x:c r="K163" s="46" t="str">
        <x:v>One year full-time</x:v>
      </x:c>
      <x:c r="L163" s="46"/>
      <x:c r="M163" s="46" t="str">
        <x:v>2027 Semester 1: 10 February to 24 November</x:v>
      </x:c>
      <x:c r="N163" s="46" t="str">
        <x:v>$19,000 tuition + $1,800 resource fee = $20,800</x:v>
      </x:c>
      <x:c r="O163" s="46" t="str">
        <x:v>2026 international programme guide</x:v>
      </x:c>
      <x:c r="P163" s="46" t="str">
        <x:v>2026</x:v>
      </x:c>
      <x:c r="Q163" s="46" t="str">
        <x:v>Not published; 2026 fee shown only</x:v>
      </x:c>
      <x:c r="R163" s="46"/>
      <x:c r="S163" s="46"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63" s="46"/>
      <x:c r="U163" s="46" t="str">
        <x:v>The 2026 international programme guide shows the scholarship embedded in the listed fee structure; English Zero Fees pathway may also apply.</x:v>
      </x:c>
      <x:c r="V163" s="59" t="str">
        <x:v>https://sit.ac.nz/programme/course/New%20Zealand%20Certificate%20in%20Health%20and%20Wellbeing%20(Social%20and%20Community%20Services)%20(Level%204)%20with%20strand%20in%20Social%20Services</x:v>
      </x:c>
      <x:c r="W163" s="59" t="str">
        <x:v>https://www.sit.ac.nz/Portals/0/upload/documents/Prospectus/International-Prospectus.pdf</x:v>
      </x:c>
      <x:c r="X163" s="46" t="str">
        <x:v>2026-07-29</x:v>
      </x:c>
      <x:c r="Y163" s="46" t="str">
        <x:v>Double-checked: live programme page + official international source</x:v>
      </x:c>
      <x:c r="Z163" s="46" t="str">
        <x:v>Distance-only programmes excluded. The 2026 guide amount is not relabelled as a 2027 fee.</x:v>
      </x:c>
      <x:c r="AA163" s="46"/>
      <x:c r="AB163" s="46" t="str">
        <x:v>Published by provider</x:v>
      </x:c>
      <x:c r="AC163" s="47" t="str">
        <x:v>2027 Semester 1: 10 February to 24 November</x:v>
      </x:c>
    </x:row>
    <x:row r="164" ht="48" customHeight="1">
      <x:c r="A164" s="51" t="str">
        <x:v>Southern Institute of Technology</x:v>
      </x:c>
      <x:c r="B164" s="52" t="str">
        <x:v>SIT</x:v>
      </x:c>
      <x:c r="C164" s="52" t="str">
        <x:v>Other</x:v>
      </x:c>
      <x:c r="D164" s="52" t="str">
        <x:v>Bachelor of Commerce</x:v>
      </x:c>
      <x:c r="E164" s="52"/>
      <x:c r="F164" s="52" t="n">
        <x:v>7</x:v>
      </x:c>
      <x:c r="G164" s="52" t="str">
        <x:v>Bachelor's Degree</x:v>
      </x:c>
      <x:c r="H164" s="52" t="str">
        <x:v>On campus / in-person (may include blended components)</x:v>
      </x:c>
      <x:c r="I164" s="52" t="str">
        <x:v>Yes — provider publishes international/on-campus availability</x:v>
      </x:c>
      <x:c r="J164" s="52" t="str">
        <x:v>Invercargill</x:v>
      </x:c>
      <x:c r="K164" s="52" t="str">
        <x:v>Three years full-time; Part-time study is available</x:v>
      </x:c>
      <x:c r="L164" s="52" t="str">
        <x:v>2026 Semester 3: 23 November to 29 January</x:v>
      </x:c>
      <x:c r="M164" s="52" t="str">
        <x:v>2027 Semester 1: 15 February to 25 June; 2027 Semester 2: 12 July to 19 November</x:v>
      </x:c>
      <x:c r="N164" s="52" t="str">
        <x:v>$19,000 tuition + $1,800 resource fee = $20,800</x:v>
      </x:c>
      <x:c r="O164" s="52" t="str">
        <x:v>2026 international programme guide</x:v>
      </x:c>
      <x:c r="P164" s="52" t="str">
        <x:v>2026</x:v>
      </x:c>
      <x:c r="Q164" s="52" t="str">
        <x:v>Not published; 2026 fee shown only</x:v>
      </x:c>
      <x:c r="R164" s="52"/>
      <x:c r="S164"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64" s="52"/>
      <x:c r="U164" s="52" t="str">
        <x:v>The 2026 international programme guide shows the scholarship embedded in the listed fee structure; English Zero Fees pathway may also apply.</x:v>
      </x:c>
      <x:c r="V164" s="58" t="str">
        <x:v>https://sit.ac.nz/programme/course/Bachelor%20of%20Commerce</x:v>
      </x:c>
      <x:c r="W164" s="58" t="str">
        <x:v>https://www.sit.ac.nz/Portals/0/upload/documents/Prospectus/International-Prospectus.pdf</x:v>
      </x:c>
      <x:c r="X164" s="52" t="str">
        <x:v>2026-07-29</x:v>
      </x:c>
      <x:c r="Y164" s="52" t="str">
        <x:v>Double-checked: live programme page + official international source</x:v>
      </x:c>
      <x:c r="Z164" s="52" t="str">
        <x:v>Distance-only programmes excluded. The 2026 guide amount is not relabelled as a 2027 fee.</x:v>
      </x:c>
      <x:c r="AA164" s="52"/>
      <x:c r="AB164" s="52" t="str">
        <x:v>Published by provider</x:v>
      </x:c>
      <x:c r="AC164" s="53" t="str">
        <x:v>2027 Semester 1: 15 February to 25 June; 2027 Semester 2: 12 July to 19 November</x:v>
      </x:c>
    </x:row>
    <x:row r="165" ht="48" customHeight="1">
      <x:c r="A165" s="45" t="str">
        <x:v>Southern Institute of Technology</x:v>
      </x:c>
      <x:c r="B165" s="46" t="str">
        <x:v>SIT</x:v>
      </x:c>
      <x:c r="C165" s="46" t="str">
        <x:v>Other</x:v>
      </x:c>
      <x:c r="D165" s="46" t="str">
        <x:v>Graduate Diploma in Visual Media</x:v>
      </x:c>
      <x:c r="E165" s="46"/>
      <x:c r="F165" s="46" t="n">
        <x:v>7</x:v>
      </x:c>
      <x:c r="G165" s="46" t="str">
        <x:v>Graduate Diploma</x:v>
      </x:c>
      <x:c r="H165" s="46" t="str">
        <x:v>On campus / in-person (may include blended components)</x:v>
      </x:c>
      <x:c r="I165" s="46" t="str">
        <x:v>Yes — provider publishes international/on-campus availability</x:v>
      </x:c>
      <x:c r="J165" s="46" t="str">
        <x:v>Invercargill</x:v>
      </x:c>
      <x:c r="K165" s="46" t="str">
        <x:v>One year full-time</x:v>
      </x:c>
      <x:c r="L165" s="46"/>
      <x:c r="M165" s="46" t="str">
        <x:v>2027 Semester 1: 15 February to 19 November</x:v>
      </x:c>
      <x:c r="N165" s="46" t="str">
        <x:v>$19,000 tuition + $1,800 resource fee = $20,800</x:v>
      </x:c>
      <x:c r="O165" s="46" t="str">
        <x:v>2026 international programme guide</x:v>
      </x:c>
      <x:c r="P165" s="46" t="str">
        <x:v>2026</x:v>
      </x:c>
      <x:c r="Q165" s="46" t="str">
        <x:v>Not published; 2026 fee shown only</x:v>
      </x:c>
      <x:c r="R165" s="46"/>
      <x:c r="S165" s="46" t="str">
        <x:v>IELTS test - Academic score of 6 with no band score lower than 5.5TOEFL Paper based test (pBT) - Score of 550 (with an essay score 5 TWE)TOEFL Internet based test (iBT) - Score of 60 (w</x:v>
      </x:c>
      <x:c r="T165" s="46"/>
      <x:c r="U165" s="46" t="str">
        <x:v>The 2026 international programme guide shows the scholarship embedded in the listed fee structure; English Zero Fees pathway may also apply.</x:v>
      </x:c>
      <x:c r="V165" s="59" t="str">
        <x:v>https://sit.ac.nz/programme/course/Graduate%20Diploma%20in%20Visual%20Media</x:v>
      </x:c>
      <x:c r="W165" s="59" t="str">
        <x:v>https://www.sit.ac.nz/Portals/0/upload/documents/Prospectus/International-Prospectus.pdf</x:v>
      </x:c>
      <x:c r="X165" s="46" t="str">
        <x:v>2026-07-29</x:v>
      </x:c>
      <x:c r="Y165" s="46" t="str">
        <x:v>Double-checked: live programme page + official international source</x:v>
      </x:c>
      <x:c r="Z165" s="46" t="str">
        <x:v>Distance-only programmes excluded. The 2026 guide amount is not relabelled as a 2027 fee.</x:v>
      </x:c>
      <x:c r="AA165" s="46"/>
      <x:c r="AB165" s="46" t="str">
        <x:v>Published by provider</x:v>
      </x:c>
      <x:c r="AC165" s="47" t="str">
        <x:v>2027 Semester 1: 15 February to 19 November</x:v>
      </x:c>
    </x:row>
    <x:row r="166" ht="48" customHeight="1">
      <x:c r="A166" s="51" t="str">
        <x:v>Southern Institute of Technology</x:v>
      </x:c>
      <x:c r="B166" s="52" t="str">
        <x:v>SIT</x:v>
      </x:c>
      <x:c r="C166" s="52" t="str">
        <x:v>Sport &amp; Outdoor</x:v>
      </x:c>
      <x:c r="D166" s="52" t="str">
        <x:v>Bachelor of Sport and Exercise</x:v>
      </x:c>
      <x:c r="E166" s="52"/>
      <x:c r="F166" s="52" t="n">
        <x:v>7</x:v>
      </x:c>
      <x:c r="G166" s="52" t="str">
        <x:v>Bachelor's Degree</x:v>
      </x:c>
      <x:c r="H166" s="52" t="str">
        <x:v>On campus / in-person (may include blended components)</x:v>
      </x:c>
      <x:c r="I166" s="52" t="str">
        <x:v>Yes — provider publishes international/on-campus availability</x:v>
      </x:c>
      <x:c r="J166" s="52" t="str">
        <x:v>Invercargill</x:v>
      </x:c>
      <x:c r="K166" s="52" t="str">
        <x:v>Three years full-time</x:v>
      </x:c>
      <x:c r="L166" s="52"/>
      <x:c r="M166" s="52" t="str">
        <x:v>2027 Semester 1: 15 February to 25 June; 2027 Semester 2: 12 July to 26 November</x:v>
      </x:c>
      <x:c r="N166" s="52" t="str">
        <x:v>$19,000 tuition + $1,800 resource fee = $20,800</x:v>
      </x:c>
      <x:c r="O166" s="52" t="str">
        <x:v>2026 international programme guide</x:v>
      </x:c>
      <x:c r="P166" s="52" t="str">
        <x:v>2026</x:v>
      </x:c>
      <x:c r="Q166" s="52" t="str">
        <x:v>Not published; 2026 fee shown only</x:v>
      </x:c>
      <x:c r="R166" s="52"/>
      <x:c r="S166" s="52" t="str">
        <x:v>Applicants, whose first language is not English, or who come from a country where the language of instruction in schools is not English, are required to provide evidence of having achieved one of the followingNCEA Level 3 with University Entrance, oran International Baccalaureate Diploma or Cambridge A- level qualification for which the teaching and assessment was conducted in English; orCambridge Certificate in Teaching English to Speakers of Other Languages (CELTA),or Trinity College London Certificate in Teaching English to Speakers of Other Languages (CertTESOL);orSuccessful completion of all primary education (being the equivalent of New</x:v>
      </x:c>
      <x:c r="T166" s="52"/>
      <x:c r="U166" s="52" t="str">
        <x:v>The 2026 international programme guide shows the scholarship embedded in the listed fee structure; English Zero Fees pathway may also apply.</x:v>
      </x:c>
      <x:c r="V166" s="58" t="str">
        <x:v>https://sit.ac.nz/programme/course/Bachelor%20of%20Sport%20and%20Exercise</x:v>
      </x:c>
      <x:c r="W166" s="58" t="str">
        <x:v>https://www.sit.ac.nz/Portals/0/upload/documents/Prospectus/International-Prospectus.pdf</x:v>
      </x:c>
      <x:c r="X166" s="52" t="str">
        <x:v>2026-07-29</x:v>
      </x:c>
      <x:c r="Y166" s="52" t="str">
        <x:v>Double-checked: live programme page + official international source</x:v>
      </x:c>
      <x:c r="Z166" s="52" t="str">
        <x:v>Distance-only programmes excluded. The 2026 guide amount is not relabelled as a 2027 fee.</x:v>
      </x:c>
      <x:c r="AA166" s="52"/>
      <x:c r="AB166" s="52" t="str">
        <x:v>Published by provider</x:v>
      </x:c>
      <x:c r="AC166" s="53" t="str">
        <x:v>2027 Semester 1: 15 February to 25 June; 2027 Semester 2: 12 July to 26 November</x:v>
      </x:c>
    </x:row>
    <x:row r="167" ht="48" customHeight="1">
      <x:c r="A167" s="45" t="str">
        <x:v>Toi Ohomai Institute of Technology</x:v>
      </x:c>
      <x:c r="B167" s="46" t="str">
        <x:v>Toi Ohomai</x:v>
      </x:c>
      <x:c r="C167" s="46" t="str">
        <x:v>Beauty &amp; Hair</x:v>
      </x:c>
      <x:c r="D167" s="46" t="str">
        <x:v>New Zealand Diploma in Beauty Therapy (Level 5)</x:v>
      </x:c>
      <x:c r="E167" s="46"/>
      <x:c r="F167" s="46" t="n">
        <x:v>5</x:v>
      </x:c>
      <x:c r="G167" s="46" t="str">
        <x:v>Diploma</x:v>
      </x:c>
      <x:c r="H167" s="46" t="str">
        <x:v>On campus / in-person (may include blended components)</x:v>
      </x:c>
      <x:c r="I167" s="46" t="str">
        <x:v>Yes — provider publishes international/on-campus availability</x:v>
      </x:c>
      <x:c r="J167" s="46" t="str">
        <x:v>Rotorua; Tauranga; Wider BOP/Other</x:v>
      </x:c>
      <x:c r="K167" s="46" t="str">
        <x:v>1 year full-time, including holidays (if applicable)</x:v>
      </x:c>
      <x:c r="L167" s="46"/>
      <x:c r="M167" s="46" t="str">
        <x:v>Feb 2027</x:v>
      </x:c>
      <x:c r="N167" s="46" t="str">
        <x:v>$26,520</x:v>
      </x:c>
      <x:c r="O167" s="46" t="str">
        <x:v>As stated in international course list</x:v>
      </x:c>
      <x:c r="P167" s="46" t="str">
        <x:v>2026</x:v>
      </x:c>
      <x:c r="Q167" s="46" t="str">
        <x:v>Not published; 2026 fee shown only</x:v>
      </x:c>
      <x:c r="R167" s="46" t="str">
        <x:v>To see the information for international students change your location using the button at the top right of the screen. Career Opportunities Beauty Therapist Salon Manager Product Company Representative Brand Manager Account Manager Salon Owner Topic Overview Professional Practice Body Therapy Applied Salon Management Advanced Skin Care Advanced Hair Removal Electrical Facial &amp; Body Therapy Course Fees Indicative Fees * $7,394 for domestic students Course related costs $100 - Kit costs, plus fees for a safety certificate in laser therapy that will be discussed in week one. *Please note, fees for our 2027 intakes are yet to be confirmed. Once they are, we will update our website to reflect the new 2027 fee amount. Your final fee may vary if: you have a choice of topics/papers to study the q</x:v>
      </x:c>
      <x:c r="S167" s="46" t="str">
        <x:v>An IELTS Academic score of 5.5 with no band score lower than 5 or completed NZ Certificate in English Language (Level 4) (General) or (Workplace), or NZ Certificate in English Language Level 4 (General) or (Employment), or meets a relevant English Proficiency Outcome as outlined in NZQF related Rules (Rule 18). Course Locations and Intake Information Location Campus Start Date Rotorua Mokoia Campus 20 Jul 2026 Apply now Tauranga Windermere Campus 20 Jul 2026 Apply now Wider BOP/Other --- 20 Jul 2026 Apply now Rotorua Mokoia Campus 22 Feb 2027 Apply now Tauranga Windermere Campus 22 Feb 2027 Apply now Course Unavailable in Your Location? Regis</x:v>
      </x:c>
      <x:c r="T167" s="46"/>
      <x:c r="U167" s="46" t="str">
        <x:v>No programme-specific scholarship confirmed in the international course list.</x:v>
      </x:c>
      <x:c r="V167" s="59" t="str">
        <x:v>https://www.toiohomai.ac.nz/study/course/new-zealand-diploma-beauty-therapy-level-5</x:v>
      </x:c>
      <x:c r="W167" s="59" t="str">
        <x:v>https://www.toiohomai.ac.nz/study/international-courses-list</x:v>
      </x:c>
      <x:c r="X167" s="46" t="str">
        <x:v>2026-07-29</x:v>
      </x:c>
      <x:c r="Y167" s="46" t="str">
        <x:v>Double-checked: live programme page + official international source</x:v>
      </x:c>
      <x:c r="Z167" s="46" t="str">
        <x:v>The international list says fees are indicative. Live pages state that 2027 fees are not yet confirmed.</x:v>
      </x:c>
      <x:c r="AA167" s="46"/>
      <x:c r="AB167" s="46" t="str">
        <x:v>Published by provider</x:v>
      </x:c>
      <x:c r="AC167" s="47" t="str">
        <x:v>Feb 2027</x:v>
      </x:c>
    </x:row>
    <x:row r="168" ht="48" customHeight="1">
      <x:c r="A168" s="51" t="str">
        <x:v>Toi Ohomai Institute of Technology</x:v>
      </x:c>
      <x:c r="B168" s="52" t="str">
        <x:v>Toi Ohomai</x:v>
      </x:c>
      <x:c r="C168" s="52" t="str">
        <x:v>Beauty &amp; Hair</x:v>
      </x:c>
      <x:c r="D168" s="52" t="str">
        <x:v>New Zealand Certificate in Beauty Therapy (Level 4)</x:v>
      </x:c>
      <x:c r="E168" s="52"/>
      <x:c r="F168" s="52" t="n">
        <x:v>4</x:v>
      </x:c>
      <x:c r="G168" s="52" t="str">
        <x:v>Certificate</x:v>
      </x:c>
      <x:c r="H168" s="52" t="str">
        <x:v>On campus / in-person (may include blended components)</x:v>
      </x:c>
      <x:c r="I168" s="52" t="str">
        <x:v>Yes — provider publishes international/on-campus availability</x:v>
      </x:c>
      <x:c r="J168" s="52" t="str">
        <x:v>Rotorua; Tauranga</x:v>
      </x:c>
      <x:c r="K168" s="52" t="str">
        <x:v>1 year full-time, including holidays (if applicable)</x:v>
      </x:c>
      <x:c r="L168" s="52"/>
      <x:c r="M168" s="52" t="str">
        <x:v>Feb 2027</x:v>
      </x:c>
      <x:c r="N168" s="52" t="str">
        <x:v>$26,520</x:v>
      </x:c>
      <x:c r="O168" s="52" t="str">
        <x:v>As stated in international course list</x:v>
      </x:c>
      <x:c r="P168" s="52" t="str">
        <x:v>2026</x:v>
      </x:c>
      <x:c r="Q168" s="52" t="str">
        <x:v>Not published; 2026 fee shown only</x:v>
      </x:c>
      <x:c r="R168" s="52" t="str">
        <x:v>To see the information for international students change your location using the button at the top right of the screen. Career Opportunities Beauty Therapist Cosmetic Product Company Representative Topic Overview Professional Practice Facial Services Eye Enhancement Services Makeup Practice Hair Removal Nail Services Foundation Body Therapy Salon Skills Course Fees Indicative Fees * $7,392 for domestic students *Please note, fees for our 2027 intakes are yet to be confirmed. Once they are, we will update our website to reflect the new 2027 fee amount. Your final fee may vary if: you have a choice of topics/papers to study the qualification excludes GST there are extra course materials to purchase student levies apply We’ll let you know if any of these apply to you. * Important fee informat</x:v>
      </x:c>
      <x:c r="S168" s="52" t="str">
        <x:v>An IELTS General or Academic score of 5.5 with no band score lower than 5 or completed NZ Certificate in English Language (Level 4), or meets a relevant English Proficiency Outcome as outlined in NZQF related Rules (Rule 18). Course Locations and Intake Information Location Campus Start Date Rotorua Mokoia Campus 20 Jul 2026 Apply now Tauranga Windermere Campus 20 Jul 2026 Apply now Rotorua Mokoia Campus 22 Feb 2027 Apply now Tauranga Windermere Campus 22 Feb 2027 Apply now Course Unavailable in Your Location? Register your interest and we'll be in touch with available options. Important Dates View calendar of start dates and events Get a sum</x:v>
      </x:c>
      <x:c r="T168" s="52"/>
      <x:c r="U168" s="52" t="str">
        <x:v>No programme-specific scholarship confirmed in the international course list.</x:v>
      </x:c>
      <x:c r="V168" s="58" t="str">
        <x:v>https://www.toiohomai.ac.nz/study/course/new-zealand-certificate-beauty-therapy-level-4</x:v>
      </x:c>
      <x:c r="W168" s="58" t="str">
        <x:v>https://www.toiohomai.ac.nz/study/international-courses-list</x:v>
      </x:c>
      <x:c r="X168" s="52" t="str">
        <x:v>2026-07-29</x:v>
      </x:c>
      <x:c r="Y168" s="52" t="str">
        <x:v>Double-checked: live programme page + official international source</x:v>
      </x:c>
      <x:c r="Z168" s="52" t="str">
        <x:v>The international list says fees are indicative. Live pages state that 2027 fees are not yet confirmed.</x:v>
      </x:c>
      <x:c r="AA168" s="52"/>
      <x:c r="AB168" s="52" t="str">
        <x:v>Published by provider</x:v>
      </x:c>
      <x:c r="AC168" s="53" t="str">
        <x:v>Feb 2027</x:v>
      </x:c>
    </x:row>
    <x:row r="169" ht="48" customHeight="1">
      <x:c r="A169" s="45" t="str">
        <x:v>Toi Ohomai Institute of Technology</x:v>
      </x:c>
      <x:c r="B169" s="46" t="str">
        <x:v>Toi Ohomai</x:v>
      </x:c>
      <x:c r="C169" s="46" t="str">
        <x:v>Business &amp; Management</x:v>
      </x:c>
      <x:c r="D169" s="46" t="str">
        <x:v>Master of Management</x:v>
      </x:c>
      <x:c r="E169" s="46"/>
      <x:c r="F169" s="46" t="n">
        <x:v>9</x:v>
      </x:c>
      <x:c r="G169" s="46" t="str">
        <x:v>Master's Degree</x:v>
      </x:c>
      <x:c r="H169" s="46" t="str">
        <x:v>On campus / in-person (may include blended components)</x:v>
      </x:c>
      <x:c r="I169" s="46" t="str">
        <x:v>Yes — provider publishes international/on-campus availability</x:v>
      </x:c>
      <x:c r="J169" s="46" t="str">
        <x:v>Rotorua; Tauranga</x:v>
      </x:c>
      <x:c r="K169" s="46" t="str">
        <x:v>2 years full-time, including holidays (if applicable)</x:v>
      </x:c>
      <x:c r="L169" s="46" t="str">
        <x:v>Nov 2026</x:v>
      </x:c>
      <x:c r="M169" s="46"/>
      <x:c r="N169" s="46" t="str">
        <x:v>$29,172 - $48,672 (varies depending on pathway chosen)</x:v>
      </x:c>
      <x:c r="O169" s="46" t="str">
        <x:v>As stated in international course list</x:v>
      </x:c>
      <x:c r="P169" s="46" t="str">
        <x:v>2026</x:v>
      </x:c>
      <x:c r="Q169" s="46" t="str">
        <x:v>No 2027 intake in this verified row</x:v>
      </x:c>
      <x:c r="R169" s="46" t="str">
        <x:v>To see the information for international students change your location using the button at the top right of the screen. Career Opportunities The following endorsements only apply to the Master of Management by Coursework (180 credits) and the Master of Management by Coursework and Thesis (240 credits) - No endorsement for the Master of Management by Thesis (120 credits). Business Endorsement: Team Leader Section Head Manager Systems Support Manager Sustainability Manager Innovation Manager Quality Manager Business Owner Hospitality Endorsement: Assistant Manager Event Manager Project Manager Conference and Functions Manager Business Development Manager Tourism Operations Manager Cruise Director Hotel Manager General Customer Service Industry Manager Night Duty Manager Resident Manager Gues</x:v>
      </x:c>
      <x:c r="S169" s="46" t="str">
        <x:v>IELTS Academic score of 6.5 with no band score lower than 6 or completed New Zealand Certificate in English Language Level 5 with the Academic Endorsement or meets a relevant English Proficiency Outcome as outlined by NZQA. Course Locations and Intake Information Location Campus Start Date Rotorua Mokoia Campus 20 Jul 2026 Apply forCoursework Rotorua Mokoia Campus 20 Jul 2026 Apply forCoursework &amp; Thesis Rotorua Mokoia Campus 9 Nov 2026 Apply forCoursework Rotorua Mokoia Campus 9 Nov 2026 Apply forCoursework &amp; Thesis Tauranga Windermere Campus 9 Nov 2026 Apply forThesis Rotorua Mokoia Campus 22 Feb 2027 Apply forCoursework Rotorua Mokoia Camp</x:v>
      </x:c>
      <x:c r="T169" s="46"/>
      <x:c r="U169" s="46" t="str">
        <x:v>No programme-specific scholarship confirmed in the international course list.</x:v>
      </x:c>
      <x:c r="V169" s="59" t="str">
        <x:v>https://www.toiohomai.ac.nz/study/course/master-management</x:v>
      </x:c>
      <x:c r="W169" s="59" t="str">
        <x:v>https://www.toiohomai.ac.nz/study/international-courses-list</x:v>
      </x:c>
      <x:c r="X169" s="46" t="str">
        <x:v>2026-07-29</x:v>
      </x:c>
      <x:c r="Y169" s="46" t="str">
        <x:v>Double-checked: live programme page + official international source</x:v>
      </x:c>
      <x:c r="Z169" s="46" t="str">
        <x:v>The international list says fees are indicative. Live pages state that 2027 fees are not yet confirmed. 2027 planning date is projected from the 2026 start pattern and is not provider-confirmed.</x:v>
      </x:c>
      <x:c r="AA169" s="46" t="str">
        <x:v>Projected from 2026 pattern: Nov 2027</x:v>
      </x:c>
      <x:c r="AB169" s="46" t="str">
        <x:v>Projected from 2026 pattern — not provider-published; reconfirm before application</x:v>
      </x:c>
      <x:c r="AC169" s="47" t="str">
        <x:v>Projected from 2026 pattern: Nov 2027</x:v>
      </x:c>
    </x:row>
    <x:row r="170" ht="48" customHeight="1">
      <x:c r="A170" s="51" t="str">
        <x:v>Toi Ohomai Institute of Technology</x:v>
      </x:c>
      <x:c r="B170" s="52" t="str">
        <x:v>Toi Ohomai</x:v>
      </x:c>
      <x:c r="C170" s="52" t="str">
        <x:v>Business &amp; Management</x:v>
      </x:c>
      <x:c r="D170" s="52" t="str">
        <x:v>Postgraduate Diploma in Management (Business)</x:v>
      </x:c>
      <x:c r="E170" s="52"/>
      <x:c r="F170" s="52" t="n">
        <x:v>8</x:v>
      </x:c>
      <x:c r="G170" s="52" t="str">
        <x:v>Postgraduate Diploma</x:v>
      </x:c>
      <x:c r="H170" s="52" t="str">
        <x:v>On campus / in-person (may include blended components)</x:v>
      </x:c>
      <x:c r="I170" s="52" t="str">
        <x:v>Yes — provider publishes international/on-campus availability</x:v>
      </x:c>
      <x:c r="J170" s="52" t="str">
        <x:v>Rotorua</x:v>
      </x:c>
      <x:c r="K170" s="52" t="str">
        <x:v>1 year full-time, including holidays (if applicable); part-time study available</x:v>
      </x:c>
      <x:c r="L170" s="52" t="str">
        <x:v>Nov 2026</x:v>
      </x:c>
      <x:c r="M170" s="52"/>
      <x:c r="N170" s="52" t="str">
        <x:v>$25,740</x:v>
      </x:c>
      <x:c r="O170" s="52" t="str">
        <x:v>As stated in international course list</x:v>
      </x:c>
      <x:c r="P170" s="52" t="str">
        <x:v>2026</x:v>
      </x:c>
      <x:c r="Q170" s="52" t="str">
        <x:v>No 2027 intake in this verified row</x:v>
      </x:c>
      <x:c r="R170" s="52" t="str">
        <x:v>To see the information for international students change your location using the button at the top right of the screen. Career Opportunities Team Leader Section Head Manager Systems Support Manager Sustainability Manager Innovation Manager Quality Manager Business Owner Topic Overview Compulsory papers in this course: Management Practice - Critical Analysis and Review Strategic Human Resource Management Finance for Managers Operations Management Change Management Advanced Applied Research Proposal You must also complete TWO papers from the list below: Communication for Managers Quality Management Systems: Macro to Micro Work-Integrated Project Course Fees Indicative Fees * $8,200 for domestic students Course related costs Textbooks may be required for some papers. Your final fee may vary i</x:v>
      </x:c>
      <x:c r="S170" s="52" t="str">
        <x:v>IELTS Academic score of 6.5 with no band score lower than 6 or completed New Zealand Certificate in English Language Level 5 with the Academic Endorsement or meets a relevant English Proficiency Outcome as outlined by NZQA. Course Locations and Intake Information Location Campus Start Date Rotorua Mokoia Campus 20 Jul 2026 Apply now Course Unavailable in Your Location? Register your interest and we'll be in touch with available options. Important Dates View calendar of start dates and events Get a summary of this page Further Study Options Courses Offered at Toi Ohomai Master of Management Related Subjects PostgraduateAdvance your career with</x:v>
      </x:c>
      <x:c r="T170" s="52"/>
      <x:c r="U170" s="52" t="str">
        <x:v>No programme-specific scholarship confirmed in the international course list.</x:v>
      </x:c>
      <x:c r="V170" s="58" t="str">
        <x:v>https://www.toiohomai.ac.nz/study/course/postgraduate-diploma-management-business</x:v>
      </x:c>
      <x:c r="W170" s="58" t="str">
        <x:v>https://www.toiohomai.ac.nz/study/international-courses-list</x:v>
      </x:c>
      <x:c r="X170" s="52" t="str">
        <x:v>2026-07-29</x:v>
      </x:c>
      <x:c r="Y170" s="52" t="str">
        <x:v>Double-checked: live programme page + official international source</x:v>
      </x:c>
      <x:c r="Z170" s="52" t="str">
        <x:v>The international list says fees are indicative. Live pages state that 2027 fees are not yet confirmed. 2027 planning date is projected from the 2026 start pattern and is not provider-confirmed.</x:v>
      </x:c>
      <x:c r="AA170" s="52" t="str">
        <x:v>Projected from 2026 pattern: Nov 2027</x:v>
      </x:c>
      <x:c r="AB170" s="52" t="str">
        <x:v>Projected from 2026 pattern — not provider-published; reconfirm before application</x:v>
      </x:c>
      <x:c r="AC170" s="53" t="str">
        <x:v>Projected from 2026 pattern: Nov 2027</x:v>
      </x:c>
    </x:row>
    <x:row r="171" ht="48" customHeight="1">
      <x:c r="A171" s="45" t="str">
        <x:v>Toi Ohomai Institute of Technology</x:v>
      </x:c>
      <x:c r="B171" s="46" t="str">
        <x:v>Toi Ohomai</x:v>
      </x:c>
      <x:c r="C171" s="46" t="str">
        <x:v>Business &amp; Management</x:v>
      </x:c>
      <x:c r="D171" s="46" t="str">
        <x:v>Postgraduate Diploma in Management (Health)</x:v>
      </x:c>
      <x:c r="E171" s="46"/>
      <x:c r="F171" s="46" t="n">
        <x:v>8</x:v>
      </x:c>
      <x:c r="G171" s="46" t="str">
        <x:v>Postgraduate Diploma</x:v>
      </x:c>
      <x:c r="H171" s="46" t="str">
        <x:v>On campus / in-person (may include blended components)</x:v>
      </x:c>
      <x:c r="I171" s="46" t="str">
        <x:v>Yes — provider publishes international/on-campus availability</x:v>
      </x:c>
      <x:c r="J171" s="46" t="str">
        <x:v>Rotorua</x:v>
      </x:c>
      <x:c r="K171" s="46" t="str">
        <x:v>1 year full-time, including holidays (if applicable); part-time study available</x:v>
      </x:c>
      <x:c r="L171" s="46" t="str">
        <x:v>Nov 2026</x:v>
      </x:c>
      <x:c r="M171" s="46"/>
      <x:c r="N171" s="46" t="str">
        <x:v>$25,740</x:v>
      </x:c>
      <x:c r="O171" s="46" t="str">
        <x:v>As stated in international course list</x:v>
      </x:c>
      <x:c r="P171" s="46" t="str">
        <x:v>2026</x:v>
      </x:c>
      <x:c r="Q171" s="46" t="str">
        <x:v>No 2027 intake in this verified row</x:v>
      </x:c>
      <x:c r="R171" s="46" t="str">
        <x:v>To see the information for international students change your location using the button at the top right of the screen. Career Opportunities Team Leader Quality Manager Case Manager Health Care Manager Business Owner Topic Overview Compulsory papers in this course: Management Practice - Critical Analysis and Review Strategic Human Resource Management Finance for Managers Operations Management Change Management Advanced Applied Research Proposal You must also complete TWO papers form the list below: Leadership in Health Care Governance and Management in Health Care Work-Integrated Project Course Fees Indicative Fees * $8,200 for domestic students Course related costs Textbooks may be required for some papers. Your final fee may vary if: you have a choice of topics/papers to study the qualif</x:v>
      </x:c>
      <x:c r="S171" s="46" t="str">
        <x:v>IELTS Academic score of 6.5 with no band score lower than 6 or completed New Zealand Certificate in English Language Level 5 with the Academic Endorsement or meets a relevant English Proficiency Outcome as outlined by NZQA. Course Locations and Intake Information Location Campus Start Date Rotorua Mokoia Campus 20 Jul 2026 Apply now Course Unavailable in Your Location? Register your interest and we'll be in touch with available options. Important Dates View calendar of start dates and events Get a summary of this page Further Study Options Courses Offered at Toi Ohomai Master of Management Related Subjects PostgraduateAdvance your career with</x:v>
      </x:c>
      <x:c r="T171" s="46"/>
      <x:c r="U171" s="46" t="str">
        <x:v>No programme-specific scholarship confirmed in the international course list.</x:v>
      </x:c>
      <x:c r="V171" s="59" t="str">
        <x:v>https://www.toiohomai.ac.nz/study/course/postgraduate-diploma-management-health</x:v>
      </x:c>
      <x:c r="W171" s="59" t="str">
        <x:v>https://www.toiohomai.ac.nz/study/international-courses-list</x:v>
      </x:c>
      <x:c r="X171" s="46" t="str">
        <x:v>2026-07-29</x:v>
      </x:c>
      <x:c r="Y171" s="46" t="str">
        <x:v>Double-checked: live programme page + official international source</x:v>
      </x:c>
      <x:c r="Z171" s="46" t="str">
        <x:v>The international list says fees are indicative. Live pages state that 2027 fees are not yet confirmed. 2027 planning date is projected from the 2026 start pattern and is not provider-confirmed.</x:v>
      </x:c>
      <x:c r="AA171" s="46" t="str">
        <x:v>Projected from 2026 pattern: Nov 2027</x:v>
      </x:c>
      <x:c r="AB171" s="46" t="str">
        <x:v>Projected from 2026 pattern — not provider-published; reconfirm before application</x:v>
      </x:c>
      <x:c r="AC171" s="47" t="str">
        <x:v>Projected from 2026 pattern: Nov 2027</x:v>
      </x:c>
    </x:row>
    <x:row r="172" ht="48" customHeight="1">
      <x:c r="A172" s="51" t="str">
        <x:v>Toi Ohomai Institute of Technology</x:v>
      </x:c>
      <x:c r="B172" s="52" t="str">
        <x:v>Toi Ohomai</x:v>
      </x:c>
      <x:c r="C172" s="52" t="str">
        <x:v>Business &amp; Management</x:v>
      </x:c>
      <x:c r="D172" s="52" t="str">
        <x:v>Postgraduate Diploma in Management (Hospitality)</x:v>
      </x:c>
      <x:c r="E172" s="52"/>
      <x:c r="F172" s="52" t="n">
        <x:v>8</x:v>
      </x:c>
      <x:c r="G172" s="52" t="str">
        <x:v>Postgraduate Diploma</x:v>
      </x:c>
      <x:c r="H172" s="52" t="str">
        <x:v>On campus / in-person (may include blended components)</x:v>
      </x:c>
      <x:c r="I172" s="52" t="str">
        <x:v>Yes — provider publishes international/on-campus availability</x:v>
      </x:c>
      <x:c r="J172" s="52" t="str">
        <x:v>Rotorua</x:v>
      </x:c>
      <x:c r="K172" s="52" t="str">
        <x:v>1 year full-time, including holidays (if applicable); part-time study available</x:v>
      </x:c>
      <x:c r="L172" s="52" t="str">
        <x:v>Nov 2026</x:v>
      </x:c>
      <x:c r="M172" s="52"/>
      <x:c r="N172" s="52" t="str">
        <x:v>$25,740</x:v>
      </x:c>
      <x:c r="O172" s="52" t="str">
        <x:v>As stated in international course list</x:v>
      </x:c>
      <x:c r="P172" s="52" t="str">
        <x:v>2026</x:v>
      </x:c>
      <x:c r="Q172" s="52" t="str">
        <x:v>No 2027 intake in this verified row</x:v>
      </x:c>
      <x:c r="R172" s="52" t="str">
        <x:v>To see the information for international students change your location using the button at the top right of the screen. Career Opportunities Assistant Manager Event Manager Project Manager Conference and Functions Manager Business Development Manager Tourism Operations Manager Cruise Director Hotel Manager General Customer Service Industry Manager Night Duty Manager Resident Manager Guest Relations Manager Business Owner Topic Overview Compulsory papers in this course: Management Practice - Critical Analysis and Review Strategic Human Resource Management Finance for Managers Operations Management Change Management Advanced Applied Research Proposal You must also complete TWO papers from the list below: Cultural Intelligence in the Hospitality Industry Service Sector Marketing Work-Integrat</x:v>
      </x:c>
      <x:c r="S172" s="52" t="str">
        <x:v>IELTS Academic score of 6.5 with no band score lower than 6 or completed New Zealand Certificate in English Language Level 5 with the Academic Endorsement or meets a relevant English Proficiency Outcome as outlined by NZQA. Course Locations and Intake Information Location Campus Start Date Rotorua Mokoia Campus 20 Jul 2026 Apply now Course Unavailable in Your Location? Register your interest and we'll be in touch with available options. Important Dates View calendar of start dates and events Get a summary of this page Further Study Options Courses Offered at Toi Ohomai Master of Management Related Subjects PostgraduateAdvance your career with</x:v>
      </x:c>
      <x:c r="T172" s="52"/>
      <x:c r="U172" s="52" t="str">
        <x:v>No programme-specific scholarship confirmed in the international course list.</x:v>
      </x:c>
      <x:c r="V172" s="58" t="str">
        <x:v>https://www.toiohomai.ac.nz/study/course/postgraduate-diploma-management-hospitality</x:v>
      </x:c>
      <x:c r="W172" s="58" t="str">
        <x:v>https://www.toiohomai.ac.nz/study/international-courses-list</x:v>
      </x:c>
      <x:c r="X172" s="52" t="str">
        <x:v>2026-07-29</x:v>
      </x:c>
      <x:c r="Y172" s="52" t="str">
        <x:v>Double-checked: live programme page + official international source</x:v>
      </x:c>
      <x:c r="Z172" s="52" t="str">
        <x:v>The international list says fees are indicative. Live pages state that 2027 fees are not yet confirmed. 2027 planning date is projected from the 2026 start pattern and is not provider-confirmed.</x:v>
      </x:c>
      <x:c r="AA172" s="52" t="str">
        <x:v>Projected from 2026 pattern: Nov 2027</x:v>
      </x:c>
      <x:c r="AB172" s="52" t="str">
        <x:v>Projected from 2026 pattern — not provider-published; reconfirm before application</x:v>
      </x:c>
      <x:c r="AC172" s="53" t="str">
        <x:v>Projected from 2026 pattern: Nov 2027</x:v>
      </x:c>
    </x:row>
    <x:row r="173" ht="48" customHeight="1">
      <x:c r="A173" s="45" t="str">
        <x:v>Toi Ohomai Institute of Technology</x:v>
      </x:c>
      <x:c r="B173" s="46" t="str">
        <x:v>Toi Ohomai</x:v>
      </x:c>
      <x:c r="C173" s="46" t="str">
        <x:v>Business &amp; Management</x:v>
      </x:c>
      <x:c r="D173" s="46" t="str">
        <x:v>Bachelor of Accounting</x:v>
      </x:c>
      <x:c r="E173" s="46"/>
      <x:c r="F173" s="46" t="n">
        <x:v>7</x:v>
      </x:c>
      <x:c r="G173" s="46" t="str">
        <x:v>Bachelor's Degree</x:v>
      </x:c>
      <x:c r="H173" s="46" t="str">
        <x:v>On campus / in-person (may include blended components)</x:v>
      </x:c>
      <x:c r="I173" s="46" t="str">
        <x:v>Yes — provider publishes international/on-campus availability</x:v>
      </x:c>
      <x:c r="J173" s="46" t="str">
        <x:v>Rotorua; Tauranga</x:v>
      </x:c>
      <x:c r="K173" s="46" t="str">
        <x:v>3 years full-time, including holidays (if applicable); part-time study available</x:v>
      </x:c>
      <x:c r="L173" s="46"/>
      <x:c r="M173" s="46" t="str">
        <x:v>Feb 2027</x:v>
      </x:c>
      <x:c r="N173" s="46" t="str">
        <x:v>$26,520 per year</x:v>
      </x:c>
      <x:c r="O173" s="46" t="str">
        <x:v>As stated in international course list</x:v>
      </x:c>
      <x:c r="P173" s="46" t="str">
        <x:v>2026</x:v>
      </x:c>
      <x:c r="Q173" s="46" t="str">
        <x:v>Not published; 2026 fee shown only</x:v>
      </x:c>
      <x:c r="R173" s="46" t="str">
        <x:v>To see the information for international students change your location using the button at the top right of the screen. Timetable Rotorua &amp; TaurangaMonday, 9.30am-12.30pm, 1pm-4pmTuesday, 9.30am-12.30pm, 1pm-4pmWednesday, 9.30am-12.30pm, 1pm-4pmThursday, 9.30am-12.30pm &amp; 1pm-4pm *Please note: timetable is subject to change. Career Opportunities This qualification will prepare you for accounting and accounting-related roles, including a Chartered Accountant. Accounting has good long-term career prospects, with strong support from a professional body to remain current and adaptable in an ever-changing business world. Topic Overview Change and Innovation Introduction to Accounting and Taxation Applied Accounting Analysis of Financial Information Budgets for Planning and Control Commercial Law</x:v>
      </x:c>
      <x:c r="S173" s="46"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Rotorua Mokoia Campus 20 Jul 2026 Apply now Tauranga Windermere Campus 20 Jul 2026 Apply now Rotorua Mokoia Campus 22 Feb 2027 Apply now Tauranga Windermere Campus 22 Feb 2027 Apply now Course Unavailable in Your Location? Register your interest and we'll be in touch with available options. Important Dates View calendar of start dates and events Get a summa</x:v>
      </x:c>
      <x:c r="T173" s="46"/>
      <x:c r="U173" s="46" t="str">
        <x:v>No programme-specific scholarship confirmed in the international course list.</x:v>
      </x:c>
      <x:c r="V173" s="59" t="str">
        <x:v>https://www.toiohomai.ac.nz/study/course/bachelor-accounting</x:v>
      </x:c>
      <x:c r="W173" s="59" t="str">
        <x:v>https://www.toiohomai.ac.nz/study/international-courses-list</x:v>
      </x:c>
      <x:c r="X173" s="46" t="str">
        <x:v>2026-07-29</x:v>
      </x:c>
      <x:c r="Y173" s="46" t="str">
        <x:v>Double-checked: live programme page + official international source</x:v>
      </x:c>
      <x:c r="Z173" s="46" t="str">
        <x:v>The international list says fees are indicative. Live pages state that 2027 fees are not yet confirmed.</x:v>
      </x:c>
      <x:c r="AA173" s="46"/>
      <x:c r="AB173" s="46" t="str">
        <x:v>Published by provider</x:v>
      </x:c>
      <x:c r="AC173" s="47" t="str">
        <x:v>Feb 2027</x:v>
      </x:c>
    </x:row>
    <x:row r="174" ht="48" customHeight="1">
      <x:c r="A174" s="51" t="str">
        <x:v>Toi Ohomai Institute of Technology</x:v>
      </x:c>
      <x:c r="B174" s="52" t="str">
        <x:v>Toi Ohomai</x:v>
      </x:c>
      <x:c r="C174" s="52" t="str">
        <x:v>Business &amp; Management</x:v>
      </x:c>
      <x:c r="D174" s="52" t="str">
        <x:v>Bachelor of Applied Hospitality and Tourism Management</x:v>
      </x:c>
      <x:c r="E174" s="52"/>
      <x:c r="F174" s="52" t="n">
        <x:v>7</x:v>
      </x:c>
      <x:c r="G174" s="52" t="str">
        <x:v>Bachelor's Degree</x:v>
      </x:c>
      <x:c r="H174" s="52" t="str">
        <x:v>On campus / in-person (may include blended components)</x:v>
      </x:c>
      <x:c r="I174" s="52" t="str">
        <x:v>Yes — provider publishes international/on-campus availability</x:v>
      </x:c>
      <x:c r="J174" s="52" t="str">
        <x:v>Rotorua</x:v>
      </x:c>
      <x:c r="K174" s="52" t="str">
        <x:v>3 years full-time, including holidays (if applicable); part-time study available</x:v>
      </x:c>
      <x:c r="L174" s="52" t="str">
        <x:v>Nov 2026</x:v>
      </x:c>
      <x:c r="M174" s="52"/>
      <x:c r="N174" s="52" t="str">
        <x:v>$23,400 per year</x:v>
      </x:c>
      <x:c r="O174" s="52" t="str">
        <x:v>As stated in international course list</x:v>
      </x:c>
      <x:c r="P174" s="52" t="str">
        <x:v>2026</x:v>
      </x:c>
      <x:c r="Q174" s="52" t="str">
        <x:v>No 2027 intake in this verified row</x:v>
      </x:c>
      <x:c r="R174" s="52" t="str">
        <x:v>To see the information for international students change your location using the button at the top right of the screen. Timetable Monday, 9am-1pmTuesday, 9am-1pmWednesday, 9am-1pmThursday, 9am-1pm Part-time learners can select 1-3 days per week. *Please note: timetable is subject to change. Career Opportunities Graduates can pursue career opportunities in a wide range of organisations and roles in the hospitality and tourism industry, and related sectors. Graduates may become self-employed or progress to employment in advisory, team leader, supervisory or management roles in a variety of areas, including: Hotel/accommodation management, including sales and marketing, concierge and front desk operations Food and beverage, restaurants and catering Tourism, hotel and event venue facilities ma</x:v>
      </x:c>
      <x:c r="S174" s="52"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Rotorua Mokoia Campus 20 Jul 2026 Apply now Rotorua Mokoia Campus 22 Feb 2027 Apply now Rotorua Mokoia Campus 22 Feb 2027 Apply now Rotorua Mokoia Campus 22 Feb 2027 Apply now Course Unavailable in Your Location? Register your interest and we'll be in touch with available options. Important Dates View calendar of start dates and events Get a summary of this</x:v>
      </x:c>
      <x:c r="T174" s="52"/>
      <x:c r="U174" s="52" t="str">
        <x:v>No programme-specific scholarship confirmed in the international course list.</x:v>
      </x:c>
      <x:c r="V174" s="58" t="str">
        <x:v>https://www.toiohomai.ac.nz/study/course/bachelor-applied-hospitality-and-tourism-management</x:v>
      </x:c>
      <x:c r="W174" s="58" t="str">
        <x:v>https://www.toiohomai.ac.nz/study/international-courses-list</x:v>
      </x:c>
      <x:c r="X174" s="52" t="str">
        <x:v>2026-07-29</x:v>
      </x:c>
      <x:c r="Y174" s="52" t="str">
        <x:v>Double-checked: live programme page + official international source</x:v>
      </x:c>
      <x:c r="Z174" s="52" t="str">
        <x:v>The international list says fees are indicative. Live pages state that 2027 fees are not yet confirmed. 2027 planning date is projected from the 2026 start pattern and is not provider-confirmed.</x:v>
      </x:c>
      <x:c r="AA174" s="52" t="str">
        <x:v>Projected from 2026 pattern: Nov 2027</x:v>
      </x:c>
      <x:c r="AB174" s="52" t="str">
        <x:v>Projected from 2026 pattern — not provider-published; reconfirm before application</x:v>
      </x:c>
      <x:c r="AC174" s="53" t="str">
        <x:v>Projected from 2026 pattern: Nov 2027</x:v>
      </x:c>
    </x:row>
    <x:row r="175" ht="48" customHeight="1">
      <x:c r="A175" s="45" t="str">
        <x:v>Toi Ohomai Institute of Technology</x:v>
      </x:c>
      <x:c r="B175" s="46" t="str">
        <x:v>Toi Ohomai</x:v>
      </x:c>
      <x:c r="C175" s="46" t="str">
        <x:v>Business &amp; Management</x:v>
      </x:c>
      <x:c r="D175" s="46" t="str">
        <x:v>Bachelor of Applied Management (Business Management)</x:v>
      </x:c>
      <x:c r="E175" s="46"/>
      <x:c r="F175" s="46" t="n">
        <x:v>7</x:v>
      </x:c>
      <x:c r="G175" s="46" t="str">
        <x:v>Bachelor's Degree</x:v>
      </x:c>
      <x:c r="H175" s="46" t="str">
        <x:v>On campus / in-person (may include blended components)</x:v>
      </x:c>
      <x:c r="I175" s="46" t="str">
        <x:v>Yes — provider publishes international/on-campus availability</x:v>
      </x:c>
      <x:c r="J175" s="46" t="str">
        <x:v>Rotorua; Tauranga</x:v>
      </x:c>
      <x:c r="K175" s="46" t="str">
        <x:v>3 years full-time, including holidays (if applicable); part-time study available</x:v>
      </x:c>
      <x:c r="L175" s="46"/>
      <x:c r="M175" s="46" t="str">
        <x:v>Feb 2027</x:v>
      </x:c>
      <x:c r="N175" s="46" t="str">
        <x:v>$23,400 per year</x:v>
      </x:c>
      <x:c r="O175" s="46" t="str">
        <x:v>As stated in international course list</x:v>
      </x:c>
      <x:c r="P175" s="46" t="str">
        <x:v>2026</x:v>
      </x:c>
      <x:c r="Q175" s="46" t="str">
        <x:v>Not published; 2026 fee shown only</x:v>
      </x:c>
      <x:c r="R175" s="46" t="str">
        <x:v>To see the information for international students change your location using the button at the top right of the screen. Timetable Rotorua &amp; TaurangaMonday, 9.30am-12.30pm, 1pm-4pmTuesday, 9.30am-12.30pm, 1pm-4pmWednesday, 9.30am-12.30pm, 1pm-4pmThursday, 9.30am-12.30pm &amp; 1pm-4pm *Please note: timetable is subject to change. Career Opportunities Business Development Manager Sales and Advertising Manager Marketing Manager Market Research Project Manager HR Manager Learning and Development Manager Communications Manager Māori Trusts and Entities Business Analyst Promotions and Public Relations Manager Operations Manager Financial Analyst Senior Manager in a Trust or NPO Topic Overview Year One Organisations in an Aotearoa New Zealand Context Business Functions Business Environments Change and</x:v>
      </x:c>
      <x:c r="S175" s="46"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Rotorua Mokoia Campus 20 Jul 2026 Apply now Tauranga Windermere Campus 20 Jul 2026 Apply now Rotorua Mokoia Campus 22 Feb 2027 Apply now Tauranga Windermere Campus 22 Feb 2027 Apply now Course Unavailable in Your Location? Register your interest and we'll be in touch with available options. Important Dates View calendar of start dates and events Get a summa</x:v>
      </x:c>
      <x:c r="T175" s="46"/>
      <x:c r="U175" s="46" t="str">
        <x:v>No programme-specific scholarship confirmed in the international course list.</x:v>
      </x:c>
      <x:c r="V175" s="59" t="str">
        <x:v>https://www.toiohomai.ac.nz/study/course/bachelor-applied-management-business-management</x:v>
      </x:c>
      <x:c r="W175" s="59" t="str">
        <x:v>https://www.toiohomai.ac.nz/study/international-courses-list</x:v>
      </x:c>
      <x:c r="X175" s="46" t="str">
        <x:v>2026-07-29</x:v>
      </x:c>
      <x:c r="Y175" s="46" t="str">
        <x:v>Double-checked: live programme page + official international source</x:v>
      </x:c>
      <x:c r="Z175" s="46" t="str">
        <x:v>The international list says fees are indicative. Live pages state that 2027 fees are not yet confirmed.</x:v>
      </x:c>
      <x:c r="AA175" s="46"/>
      <x:c r="AB175" s="46" t="str">
        <x:v>Published by provider</x:v>
      </x:c>
      <x:c r="AC175" s="47" t="str">
        <x:v>Feb 2027</x:v>
      </x:c>
    </x:row>
    <x:row r="176" ht="48" customHeight="1">
      <x:c r="A176" s="51" t="str">
        <x:v>Toi Ohomai Institute of Technology</x:v>
      </x:c>
      <x:c r="B176" s="52" t="str">
        <x:v>Toi Ohomai</x:v>
      </x:c>
      <x:c r="C176" s="52" t="str">
        <x:v>Business &amp; Management</x:v>
      </x:c>
      <x:c r="D176" s="52" t="str">
        <x:v>New Zealand Diploma in Construction (Construction Management) (Level 6)</x:v>
      </x:c>
      <x:c r="E176" s="52"/>
      <x:c r="F176" s="52" t="n">
        <x:v>6</x:v>
      </x:c>
      <x:c r="G176" s="52" t="str">
        <x:v>Diploma</x:v>
      </x:c>
      <x:c r="H176" s="52" t="str">
        <x:v>On campus / in-person (may include blended components)</x:v>
      </x:c>
      <x:c r="I176" s="52" t="str">
        <x:v>Yes — provider publishes international/on-campus availability</x:v>
      </x:c>
      <x:c r="J176" s="52" t="str">
        <x:v>Tauranga</x:v>
      </x:c>
      <x:c r="K176" s="52" t="str">
        <x:v>2.5 years full-time, including holidays (if applicable); part-time study available</x:v>
      </x:c>
      <x:c r="L176" s="52" t="str">
        <x:v>Nov 2026</x:v>
      </x:c>
      <x:c r="M176" s="52"/>
      <x:c r="N176" s="52" t="str">
        <x:v>To be confirmed</x:v>
      </x:c>
      <x:c r="O176" s="52" t="str">
        <x:v>As stated in international course list</x:v>
      </x:c>
      <x:c r="P176" s="52" t="str">
        <x:v>2026</x:v>
      </x:c>
      <x:c r="Q176" s="52" t="str">
        <x:v>No 2027 intake in this verified row</x:v>
      </x:c>
      <x:c r="R176" s="52" t="str">
        <x:v>To see the information for international students change your location using the button at the top right of the screen. Career Opportunities Construction Management Technician Construction Manager Project Manager specialist Field Construction Supervisor Site Manager Topic Overview Year 1 – Foundations (Level 5) Introduction to Construction – Learn the fundamentals of the construction industry, including roles, processes, and project stages. Materials and Structural Principles – Understand how construction materials and structural systems perform in building projects. Environment – Explore environmental impacts, sustainability, and how site conditions influence construction. Services – Learn how building services (electrical, plumbing, HVAC) operate and integrate into construction projects.</x:v>
      </x:c>
      <x:c r="S176" s="52"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9 Nov 2026 Apply now Tauranga Windermere Campus 15 Feb 2027 Apply now Tauranga Windermere Campus 19 Jul 2027 Apply now Course Unavailable in Your Location? Register your interest and we'll be in touch with available options. Important Dates View calendar of start dates and events Get a summary of this page Related Subjects Built E</x:v>
      </x:c>
      <x:c r="T176" s="52"/>
      <x:c r="U176" s="52" t="str">
        <x:v>No programme-specific scholarship confirmed in the international course list.</x:v>
      </x:c>
      <x:c r="V176" s="58" t="str">
        <x:v>https://www.toiohomai.ac.nz/study/course/new-zealand-diploma-construction-construction-management-level-6</x:v>
      </x:c>
      <x:c r="W176" s="58" t="str">
        <x:v>https://www.toiohomai.ac.nz/study/international-courses-list</x:v>
      </x:c>
      <x:c r="X176" s="52" t="str">
        <x:v>2026-07-29</x:v>
      </x:c>
      <x:c r="Y176" s="52" t="str">
        <x:v>Double-checked: live programme page + official international source</x:v>
      </x:c>
      <x:c r="Z176" s="52" t="str">
        <x:v>The international list says fees are indicative. Live pages state that 2027 fees are not yet confirmed. 2027 planning date is projected from the 2026 start pattern and is not provider-confirmed.</x:v>
      </x:c>
      <x:c r="AA176" s="52" t="str">
        <x:v>Projected from 2026 pattern: Nov 2027</x:v>
      </x:c>
      <x:c r="AB176" s="52" t="str">
        <x:v>Projected from 2026 pattern — not provider-published; reconfirm before application</x:v>
      </x:c>
      <x:c r="AC176" s="53" t="str">
        <x:v>Projected from 2026 pattern: Nov 2027</x:v>
      </x:c>
    </x:row>
    <x:row r="177" ht="48" customHeight="1">
      <x:c r="A177" s="45" t="str">
        <x:v>Toi Ohomai Institute of Technology</x:v>
      </x:c>
      <x:c r="B177" s="46" t="str">
        <x:v>Toi Ohomai</x:v>
      </x:c>
      <x:c r="C177" s="46" t="str">
        <x:v>Business &amp; Management</x:v>
      </x:c>
      <x:c r="D177" s="46" t="str">
        <x:v>New Zealand Diploma in Environmental Management (Level 6), Marine Strand</x:v>
      </x:c>
      <x:c r="E177" s="46"/>
      <x:c r="F177" s="46" t="n">
        <x:v>6</x:v>
      </x:c>
      <x:c r="G177" s="46" t="str">
        <x:v>Diploma</x:v>
      </x:c>
      <x:c r="H177" s="46" t="str">
        <x:v>On campus / in-person (may include blended components)</x:v>
      </x:c>
      <x:c r="I177" s="46" t="str">
        <x:v>Yes — provider publishes international/on-campus availability</x:v>
      </x:c>
      <x:c r="J177" s="46" t="str">
        <x:v>Tauranga</x:v>
      </x:c>
      <x:c r="K177" s="46" t="str">
        <x:v>1 year full-time, including holidays (if applicable)</x:v>
      </x:c>
      <x:c r="L177" s="46"/>
      <x:c r="M177" s="46" t="str">
        <x:v>Feb 2027</x:v>
      </x:c>
      <x:c r="N177" s="46" t="str">
        <x:v>$26,520 per year</x:v>
      </x:c>
      <x:c r="O177" s="46" t="str">
        <x:v>As stated in international course list</x:v>
      </x:c>
      <x:c r="P177" s="46" t="str">
        <x:v>2026</x:v>
      </x:c>
      <x:c r="Q177" s="46" t="str">
        <x:v>Not published; 2026 fee shown only</x:v>
      </x:c>
      <x:c r="R177" s="46" t="str">
        <x:v>To see the information for international students change your location using the button at the top right of the screen. Timetable Monday - Friday (plus the occasional weekend) *Please note: timetable is subject to change. Career Opportunities You could gain employment in a number of exciting areas, including: Freshwater or Marine Monitoring Biosecurity Iwi Liaison Fisheries Enforcement Officers/Observers on Fishing Vessels Biosecurity Officers Diving - PADI Instructors Specialised Research Projects Environmental Reporting own business enterprises Regional Council Roles (Education, Dune Care), NZ Customs, MPI, Aquariums, or Aquaculture Industry Expand your career opportunities with further study, enrolling in the third year of the Bachelor of Applied Science (Biodiversity Management) or a B</x:v>
      </x:c>
      <x:c r="S177" s="46"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15 Feb 2027 Apply now Course Unavailable in Your Location? Register your interest and we'll be in touch with available options. Important Dates View calendar of start dates and events Get a summary of this page Related Subjects Marine StudiesIf you’re drawn to the ocean, marine studies is… Environmental ManagementThe sky's the lim</x:v>
      </x:c>
      <x:c r="T177" s="46"/>
      <x:c r="U177" s="46" t="str">
        <x:v>No programme-specific scholarship confirmed in the international course list.</x:v>
      </x:c>
      <x:c r="V177" s="59" t="str">
        <x:v>https://www.toiohomai.ac.nz/study/course/new-zealand-diploma-environmental-management-level-6-marine-strand</x:v>
      </x:c>
      <x:c r="W177" s="59" t="str">
        <x:v>https://www.toiohomai.ac.nz/study/international-courses-list</x:v>
      </x:c>
      <x:c r="X177" s="46" t="str">
        <x:v>2026-07-29</x:v>
      </x:c>
      <x:c r="Y177" s="46" t="str">
        <x:v>Double-checked: live programme page + official international source</x:v>
      </x:c>
      <x:c r="Z177" s="46" t="str">
        <x:v>The international list says fees are indicative. Live pages state that 2027 fees are not yet confirmed.</x:v>
      </x:c>
      <x:c r="AA177" s="46"/>
      <x:c r="AB177" s="46" t="str">
        <x:v>Published by provider</x:v>
      </x:c>
      <x:c r="AC177" s="47" t="str">
        <x:v>Feb 2027</x:v>
      </x:c>
    </x:row>
    <x:row r="178" ht="48" customHeight="1">
      <x:c r="A178" s="51" t="str">
        <x:v>Toi Ohomai Institute of Technology</x:v>
      </x:c>
      <x:c r="B178" s="52" t="str">
        <x:v>Toi Ohomai</x:v>
      </x:c>
      <x:c r="C178" s="52" t="str">
        <x:v>Business &amp; Management</x:v>
      </x:c>
      <x:c r="D178" s="52" t="str">
        <x:v>New Zealand Diploma in Environmental Management (Level 6), Terrestrial Strand</x:v>
      </x:c>
      <x:c r="E178" s="52"/>
      <x:c r="F178" s="52" t="n">
        <x:v>6</x:v>
      </x:c>
      <x:c r="G178" s="52" t="str">
        <x:v>Diploma</x:v>
      </x:c>
      <x:c r="H178" s="52" t="str">
        <x:v>On campus / in-person (may include blended components)</x:v>
      </x:c>
      <x:c r="I178" s="52" t="str">
        <x:v>Yes — provider publishes international/on-campus availability</x:v>
      </x:c>
      <x:c r="J178" s="52" t="str">
        <x:v>Tauranga</x:v>
      </x:c>
      <x:c r="K178" s="52" t="str">
        <x:v>1 year full-time, including holidays (if applicable)</x:v>
      </x:c>
      <x:c r="L178" s="52"/>
      <x:c r="M178" s="52" t="str">
        <x:v>Feb 2027</x:v>
      </x:c>
      <x:c r="N178" s="52" t="str">
        <x:v>$26,520 per year</x:v>
      </x:c>
      <x:c r="O178" s="52" t="str">
        <x:v>As stated in international course list</x:v>
      </x:c>
      <x:c r="P178" s="52" t="str">
        <x:v>2026</x:v>
      </x:c>
      <x:c r="Q178" s="52" t="str">
        <x:v>Not published; 2026 fee shown only</x:v>
      </x:c>
      <x:c r="R178" s="52" t="str">
        <x:v>To see the information for international students change your location using the button at the top right of the screen. Timetable Monday - Friday (plus the occasional weekend) *Please note: timetable is subject to change. Career Opportunities Students gain employment in a number of exciting areas, including: Environmental Education - National and International Department of Conservation (DOC) Roles Environmental Consultancy Work Environmental Monitoring Resource Consenting Iwi Liaison Specialised Research Projects Environmental Reporting Topic Overview Research Design and Data Management Environmental Reporting The Regulatory Environment Freshwater Ecology and Monitoring Ecological Restoration Advanced Biological Surveying Plus you'll choose TWO electives. If you wish to focus on biology o</x:v>
      </x:c>
      <x:c r="S178" s="52"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15 Feb 2027 Apply now Course Unavailable in Your Location? Register your interest and we'll be in touch with available options. Important Dates View calendar of start dates and events Get a summary of this page Read a student’s story Related Subjects Environmental ManagementThe sky's the limit with our range of courses… Page last </x:v>
      </x:c>
      <x:c r="T178" s="52"/>
      <x:c r="U178" s="52" t="str">
        <x:v>No programme-specific scholarship confirmed in the international course list.</x:v>
      </x:c>
      <x:c r="V178" s="58" t="str">
        <x:v>https://www.toiohomai.ac.nz/study/course/new-zealand-diploma-environmental-management-level-6-terrestrial-strand</x:v>
      </x:c>
      <x:c r="W178" s="58" t="str">
        <x:v>https://www.toiohomai.ac.nz/study/international-courses-list</x:v>
      </x:c>
      <x:c r="X178" s="52" t="str">
        <x:v>2026-07-29</x:v>
      </x:c>
      <x:c r="Y178" s="52" t="str">
        <x:v>Double-checked: live programme page + official international source</x:v>
      </x:c>
      <x:c r="Z178" s="52" t="str">
        <x:v>The international list says fees are indicative. Live pages state that 2027 fees are not yet confirmed.</x:v>
      </x:c>
      <x:c r="AA178" s="52"/>
      <x:c r="AB178" s="52" t="str">
        <x:v>Published by provider</x:v>
      </x:c>
      <x:c r="AC178" s="53" t="str">
        <x:v>Feb 2027</x:v>
      </x:c>
    </x:row>
    <x:row r="179" ht="48" customHeight="1">
      <x:c r="A179" s="45" t="str">
        <x:v>Toi Ohomai Institute of Technology</x:v>
      </x:c>
      <x:c r="B179" s="46" t="str">
        <x:v>Toi Ohomai</x:v>
      </x:c>
      <x:c r="C179" s="46" t="str">
        <x:v>Business &amp; Management</x:v>
      </x:c>
      <x:c r="D179" s="46" t="str">
        <x:v>New Zealand Diploma in Business (Level 5), Accounting Strand</x:v>
      </x:c>
      <x:c r="E179" s="46"/>
      <x:c r="F179" s="46" t="n">
        <x:v>5</x:v>
      </x:c>
      <x:c r="G179" s="46" t="str">
        <x:v>Diploma</x:v>
      </x:c>
      <x:c r="H179" s="46" t="str">
        <x:v>On campus / in-person (may include blended components)</x:v>
      </x:c>
      <x:c r="I179" s="46" t="str">
        <x:v>Yes — provider publishes international/on-campus availability</x:v>
      </x:c>
      <x:c r="J179" s="46" t="str">
        <x:v>Rotorua; Tauranga</x:v>
      </x:c>
      <x:c r="K179" s="46" t="str">
        <x:v>1 year full-time, including holidays (if applicable); part-time study available</x:v>
      </x:c>
      <x:c r="L179" s="46"/>
      <x:c r="M179" s="46" t="str">
        <x:v>Feb 2027</x:v>
      </x:c>
      <x:c r="N179" s="46" t="str">
        <x:v>$23,400</x:v>
      </x:c>
      <x:c r="O179" s="46" t="str">
        <x:v>As stated in international course list</x:v>
      </x:c>
      <x:c r="P179" s="46" t="str">
        <x:v>2026</x:v>
      </x:c>
      <x:c r="Q179" s="46" t="str">
        <x:v>Not published; 2026 fee shown only</x:v>
      </x:c>
      <x:c r="R179" s="46" t="str">
        <x:v>To see the information for international students change your location using the button at the top right of the screen. Timetable RotoruaMonday, 9.30am-12.30pmTuesday, 9.30am-12.30pmThursday, 9.30pm-12.30pmWednesday, 9.30am-12.30pm TaurangaMonday, 9.30am-12.30pmTuesday, 9.30am-12.30pm &amp; 1-4pmWednesday, 9.30am-12.30pm &amp; 1-4pmThursday, 9.30am-12.30pm *Please note: timetable is subject to change. Career Opportunities Accounting Technician Analyst Business Banker Office Manager Finance Manager Topic Overview Organisations in an Aotearoa New Zealand Context Business Functions Business Environments Change and Innovation Introduction to Accounting and Taxation Applied Accounting Analysis of Financial Information Budgets for Planning and Control Course Fees Indicative Fees * $7,016 for domestic st</x:v>
      </x:c>
      <x:c r="S179" s="46" t="str">
        <x:v>An IELTS score of 5.5 (academic) with no individual band lower than 5.0 from one test taken in the preceding two years, or an equivalent described in NZQA Rules. Course Locations and Intake Information Location Campus Start Date Rotorua Mokoia Campus 20 Jul 2026 Apply now Tauranga Windermere Campus 20 Jul 2026 Apply now Rotorua Mokoia Campus 22 Feb 2027 Apply now Tauranga Windermere Campus 22 Feb 2027 Apply now Course Unavailable in Your Location? Register your interest and we'll be in touch with available options. Important Dates View calendar of start dates and events Get a summary of this page Further Study Options Courses Offered at Toi O</x:v>
      </x:c>
      <x:c r="T179" s="46"/>
      <x:c r="U179" s="46" t="str">
        <x:v>No programme-specific scholarship confirmed in the international course list.</x:v>
      </x:c>
      <x:c r="V179" s="59" t="str">
        <x:v>https://www.toiohomai.ac.nz/study/course/new-zealand-diploma-business-level-5-accounting-strand</x:v>
      </x:c>
      <x:c r="W179" s="59" t="str">
        <x:v>https://www.toiohomai.ac.nz/study/international-courses-list</x:v>
      </x:c>
      <x:c r="X179" s="46" t="str">
        <x:v>2026-07-29</x:v>
      </x:c>
      <x:c r="Y179" s="46" t="str">
        <x:v>Double-checked: live programme page + official international source</x:v>
      </x:c>
      <x:c r="Z179" s="46" t="str">
        <x:v>The international list says fees are indicative. Live pages state that 2027 fees are not yet confirmed.</x:v>
      </x:c>
      <x:c r="AA179" s="46"/>
      <x:c r="AB179" s="46" t="str">
        <x:v>Published by provider</x:v>
      </x:c>
      <x:c r="AC179" s="47" t="str">
        <x:v>Feb 2027</x:v>
      </x:c>
    </x:row>
    <x:row r="180" ht="48" customHeight="1">
      <x:c r="A180" s="51" t="str">
        <x:v>Toi Ohomai Institute of Technology</x:v>
      </x:c>
      <x:c r="B180" s="52" t="str">
        <x:v>Toi Ohomai</x:v>
      </x:c>
      <x:c r="C180" s="52" t="str">
        <x:v>Business &amp; Management</x:v>
      </x:c>
      <x:c r="D180" s="52" t="str">
        <x:v>New Zealand Diploma in Business (Level 5), Leadership and Management Strand</x:v>
      </x:c>
      <x:c r="E180" s="52"/>
      <x:c r="F180" s="52" t="n">
        <x:v>5</x:v>
      </x:c>
      <x:c r="G180" s="52" t="str">
        <x:v>Diploma</x:v>
      </x:c>
      <x:c r="H180" s="52" t="str">
        <x:v>On campus / in-person (may include blended components)</x:v>
      </x:c>
      <x:c r="I180" s="52" t="str">
        <x:v>Yes — provider publishes international/on-campus availability</x:v>
      </x:c>
      <x:c r="J180" s="52" t="str">
        <x:v>Rotorua; Tauranga</x:v>
      </x:c>
      <x:c r="K180" s="52" t="str">
        <x:v>1 year full-time, including holidays (if applicable); part-time study available</x:v>
      </x:c>
      <x:c r="L180" s="52"/>
      <x:c r="M180" s="52" t="str">
        <x:v>Feb 2027</x:v>
      </x:c>
      <x:c r="N180" s="52" t="str">
        <x:v>$23,400</x:v>
      </x:c>
      <x:c r="O180" s="52" t="str">
        <x:v>As stated in international course list</x:v>
      </x:c>
      <x:c r="P180" s="52" t="str">
        <x:v>2026</x:v>
      </x:c>
      <x:c r="Q180" s="52" t="str">
        <x:v>Not published; 2026 fee shown only</x:v>
      </x:c>
      <x:c r="R180" s="52" t="str">
        <x:v>To see the information for international students change your location using the button at the top right of the screen. Timetable RotoruaMonday, 9.30am-12.30pmTuesday, 9.30am-12.30pmWednesday, 9.30am-12.30pmThursday, 9.30am-12.30pm TaurangaMonday, 9.30am-12.30pmTuesday, 9.30am-12.30pm &amp; 1-4pmWednesday, 9.30am-12.30pm &amp; 1-4pmThursday, 9.30am-12.30pm *Please note: timetable is subject to change. Career Opportunities Office Manager Supervisor Team Lead Project Manager Topic Overview Organisations in an Aotearoa New Zealand Context Business Functions Business Environments Change and Innovation Operations Management and Compliance Business Planning Introduction to Leadership Managing Projects Course Fees Indicative Fees * $7,020 for domestic students *Please note, fees for our 2027 intakes are </x:v>
      </x:c>
      <x:c r="S180" s="52" t="str">
        <x:v>An IELTS score of 5.5 (academic) with no individual band lower than 5.0 from one test taken in the preceding two years, or an equivalent described in NZQA Rules. Course Locations and Intake Information Location Campus Start Date Rotorua Mokoia Campus 20 Jul 2026 Apply now Tauranga Windermere Campus 20 Jul 2026 Apply now Rotorua Mokoia Campus 22 Feb 2027 Apply now Tauranga Windermere Campus 22 Feb 2027 Apply now Course Unavailable in Your Location? Register your interest and we'll be in touch with available options. Important Dates View calendar of start dates and events Get a summary of this page Further Study Options Courses Offered at Toi O</x:v>
      </x:c>
      <x:c r="T180" s="52"/>
      <x:c r="U180" s="52" t="str">
        <x:v>No programme-specific scholarship confirmed in the international course list.</x:v>
      </x:c>
      <x:c r="V180" s="58" t="str">
        <x:v>https://www.toiohomai.ac.nz/study/course/new-zealand-diploma-business-level-5-leadership-and-management-strand</x:v>
      </x:c>
      <x:c r="W180" s="58" t="str">
        <x:v>https://www.toiohomai.ac.nz/study/international-courses-list</x:v>
      </x:c>
      <x:c r="X180" s="52" t="str">
        <x:v>2026-07-29</x:v>
      </x:c>
      <x:c r="Y180" s="52" t="str">
        <x:v>Double-checked: live programme page + official international source</x:v>
      </x:c>
      <x:c r="Z180" s="52" t="str">
        <x:v>The international list says fees are indicative. Live pages state that 2027 fees are not yet confirmed.</x:v>
      </x:c>
      <x:c r="AA180" s="52"/>
      <x:c r="AB180" s="52" t="str">
        <x:v>Published by provider</x:v>
      </x:c>
      <x:c r="AC180" s="53" t="str">
        <x:v>Feb 2027</x:v>
      </x:c>
    </x:row>
    <x:row r="181" ht="48" customHeight="1">
      <x:c r="A181" s="45" t="str">
        <x:v>Toi Ohomai Institute of Technology</x:v>
      </x:c>
      <x:c r="B181" s="46" t="str">
        <x:v>Toi Ohomai</x:v>
      </x:c>
      <x:c r="C181" s="46" t="str">
        <x:v>Business &amp; Management</x:v>
      </x:c>
      <x:c r="D181" s="46" t="str">
        <x:v>New Zealand Diploma in Environmental Management (Level 5), Marine Strand</x:v>
      </x:c>
      <x:c r="E181" s="46"/>
      <x:c r="F181" s="46" t="n">
        <x:v>5</x:v>
      </x:c>
      <x:c r="G181" s="46" t="str">
        <x:v>Diploma</x:v>
      </x:c>
      <x:c r="H181" s="46" t="str">
        <x:v>On campus / in-person (may include blended components)</x:v>
      </x:c>
      <x:c r="I181" s="46" t="str">
        <x:v>Yes — provider publishes international/on-campus availability</x:v>
      </x:c>
      <x:c r="J181" s="46" t="str">
        <x:v>Tauranga</x:v>
      </x:c>
      <x:c r="K181" s="46" t="str">
        <x:v>1 year full-time, including holidays (if applicable)</x:v>
      </x:c>
      <x:c r="L181" s="46"/>
      <x:c r="M181" s="46" t="str">
        <x:v>Feb 2027</x:v>
      </x:c>
      <x:c r="N181" s="46" t="str">
        <x:v>$26,520 per year</x:v>
      </x:c>
      <x:c r="O181" s="46" t="str">
        <x:v>As stated in international course list</x:v>
      </x:c>
      <x:c r="P181" s="46" t="str">
        <x:v>2026</x:v>
      </x:c>
      <x:c r="Q181" s="46" t="str">
        <x:v>Not published; 2026 fee shown only</x:v>
      </x:c>
      <x:c r="R181" s="46" t="str">
        <x:v>To see the information for international students change your location using the button at the top right of the screen. Timetable Monday - Friday (plus the occasional weekend) *Please note: timetable is subject to change. Career Opportunities This course is designed as entry to the Level 6 Diploma. By completing the Level 6 Diploma, you could gain employment in a number of exciting areas, including: Freshwater or Marine Monitoring Biosecurity Iwi Liaison Fisheries Enforcement Officers/Observers on Fishing Vessels Biosecurity Officers Diving - PADI Instructors Specialised Research Projects Environmental Reporting Own Business Enterprises Regional Council Roles (Education, Dune Care), NZ Customs, MPI, Aquariums, or Aquaculture Industry Topic Overview The papers you'll study within this diplo</x:v>
      </x:c>
      <x:c r="S181" s="46" t="str">
        <x:v>Level 5 certificate or diploma IELTS Academic score of 5.5 with no band score lower than 5 or completed NZ Certificate in English Language Level 4 with the Academic Endorsement or meets a relevant English Proficiency Outcome as outlined by NZQA. Course Locations and Intake Information Location Campus Start Date Tauranga Windermere Campus 15 Feb 2027 Apply now Course Unavailable in Your Location? Register your interest and we'll be in touch with available options. Important Dates View calendar of start dates and events Get a summary of this page Further Study Options Courses Offered at Toi Ohomai New Zealand Diploma in Environmental Management</x:v>
      </x:c>
      <x:c r="T181" s="46"/>
      <x:c r="U181" s="46" t="str">
        <x:v>No programme-specific scholarship confirmed in the international course list.</x:v>
      </x:c>
      <x:c r="V181" s="59" t="str">
        <x:v>https://www.toiohomai.ac.nz/study/course/new-zealand-diploma-environmental-management-level-5-marine-strand</x:v>
      </x:c>
      <x:c r="W181" s="59" t="str">
        <x:v>https://www.toiohomai.ac.nz/study/international-courses-list</x:v>
      </x:c>
      <x:c r="X181" s="46" t="str">
        <x:v>2026-07-29</x:v>
      </x:c>
      <x:c r="Y181" s="46" t="str">
        <x:v>Double-checked: live programme page + official international source</x:v>
      </x:c>
      <x:c r="Z181" s="46" t="str">
        <x:v>The international list says fees are indicative. Live pages state that 2027 fees are not yet confirmed.</x:v>
      </x:c>
      <x:c r="AA181" s="46"/>
      <x:c r="AB181" s="46" t="str">
        <x:v>Published by provider</x:v>
      </x:c>
      <x:c r="AC181" s="47" t="str">
        <x:v>Feb 2027</x:v>
      </x:c>
    </x:row>
    <x:row r="182" ht="48" customHeight="1">
      <x:c r="A182" s="51" t="str">
        <x:v>Toi Ohomai Institute of Technology</x:v>
      </x:c>
      <x:c r="B182" s="52" t="str">
        <x:v>Toi Ohomai</x:v>
      </x:c>
      <x:c r="C182" s="52" t="str">
        <x:v>Business &amp; Management</x:v>
      </x:c>
      <x:c r="D182" s="52" t="str">
        <x:v>New Zealand Diploma in Environmental Management (Level 5), Terrestrial Strand</x:v>
      </x:c>
      <x:c r="E182" s="52"/>
      <x:c r="F182" s="52" t="n">
        <x:v>5</x:v>
      </x:c>
      <x:c r="G182" s="52" t="str">
        <x:v>Diploma</x:v>
      </x:c>
      <x:c r="H182" s="52" t="str">
        <x:v>On campus / in-person (may include blended components)</x:v>
      </x:c>
      <x:c r="I182" s="52" t="str">
        <x:v>Yes — provider publishes international/on-campus availability</x:v>
      </x:c>
      <x:c r="J182" s="52" t="str">
        <x:v>Tauranga</x:v>
      </x:c>
      <x:c r="K182" s="52" t="str">
        <x:v>1 year full-time, including holidays (if applicable)</x:v>
      </x:c>
      <x:c r="L182" s="52"/>
      <x:c r="M182" s="52" t="str">
        <x:v>Feb 2027</x:v>
      </x:c>
      <x:c r="N182" s="52" t="str">
        <x:v>$26,520 per year</x:v>
      </x:c>
      <x:c r="O182" s="52" t="str">
        <x:v>As stated in international course list</x:v>
      </x:c>
      <x:c r="P182" s="52" t="str">
        <x:v>2026</x:v>
      </x:c>
      <x:c r="Q182" s="52" t="str">
        <x:v>Not published; 2026 fee shown only</x:v>
      </x:c>
      <x:c r="R182" s="52" t="str">
        <x:v>To see the information for international students change your location using the button at the top right of the screen. Timetable Monday - Friday (plus the occasional weekend) *Please note: timetable is subject to change. Career Opportunities This course is designed as entry to the Level 6 diploma. By completing the Level 6 diploma, students gain employment in a number of exciting areas, including: Environmental Education - National and International Department of Conservation (DOC) Roles Environmental Consultancy Work Environmental Monitoring Resource Consenting Iwi Liaison Specialised Research Projects Environmental Reporting Topic Overview The papers you'll study within this diploma include: Conservation Biology and Sustainability Risk Management Botany Terrestrial Invertebrates Terrest</x:v>
      </x:c>
      <x:c r="S182" s="52" t="str">
        <x:v>Level 5 certificate or diploma IELTS Academic score of 5.5 with no band score lower than 5 or completed NZ Certificate in English Language Level 4 with the Academic Endorsement or meets a relevant English Proficiency Outcome as outlined by NZQA. Course Locations and Intake Information Location Campus Start Date Tauranga Windermere Campus 15 Feb 2027 Apply now Course Unavailable in Your Location? Register your interest and we'll be in touch with available options. Important Dates View calendar of start dates and events Get a summary of this page Further Study Options Courses Offered at Toi Ohomai New Zealand Diploma in Environmental Management</x:v>
      </x:c>
      <x:c r="T182" s="52"/>
      <x:c r="U182" s="52" t="str">
        <x:v>No programme-specific scholarship confirmed in the international course list.</x:v>
      </x:c>
      <x:c r="V182" s="58" t="str">
        <x:v>https://www.toiohomai.ac.nz/study/course/new-zealand-diploma-environmental-management-level-5-terrestrial-strand</x:v>
      </x:c>
      <x:c r="W182" s="58" t="str">
        <x:v>https://www.toiohomai.ac.nz/study/international-courses-list</x:v>
      </x:c>
      <x:c r="X182" s="52" t="str">
        <x:v>2026-07-29</x:v>
      </x:c>
      <x:c r="Y182" s="52" t="str">
        <x:v>Double-checked: live programme page + official international source</x:v>
      </x:c>
      <x:c r="Z182" s="52" t="str">
        <x:v>The international list says fees are indicative. Live pages state that 2027 fees are not yet confirmed.</x:v>
      </x:c>
      <x:c r="AA182" s="52"/>
      <x:c r="AB182" s="52" t="str">
        <x:v>Published by provider</x:v>
      </x:c>
      <x:c r="AC182" s="53" t="str">
        <x:v>Feb 2027</x:v>
      </x:c>
    </x:row>
    <x:row r="183" ht="48" customHeight="1">
      <x:c r="A183" s="45" t="str">
        <x:v>Toi Ohomai Institute of Technology</x:v>
      </x:c>
      <x:c r="B183" s="46" t="str">
        <x:v>Toi Ohomai</x:v>
      </x:c>
      <x:c r="C183" s="46" t="str">
        <x:v>Business &amp; Management</x:v>
      </x:c>
      <x:c r="D183" s="46" t="str">
        <x:v>New Zealand Diploma in Hospitality Management (Level 5)</x:v>
      </x:c>
      <x:c r="E183" s="46"/>
      <x:c r="F183" s="46" t="n">
        <x:v>5</x:v>
      </x:c>
      <x:c r="G183" s="46" t="str">
        <x:v>Diploma</x:v>
      </x:c>
      <x:c r="H183" s="46" t="str">
        <x:v>On campus / in-person (may include blended components)</x:v>
      </x:c>
      <x:c r="I183" s="46" t="str">
        <x:v>Yes — provider publishes international/on-campus availability</x:v>
      </x:c>
      <x:c r="J183" s="46" t="str">
        <x:v>Rotorua</x:v>
      </x:c>
      <x:c r="K183" s="46" t="str">
        <x:v>1 year full-time, including holidays (if applicable); part-time study available</x:v>
      </x:c>
      <x:c r="L183" s="46" t="str">
        <x:v>Nov 2026</x:v>
      </x:c>
      <x:c r="M183" s="46"/>
      <x:c r="N183" s="46" t="str">
        <x:v>$26,520</x:v>
      </x:c>
      <x:c r="O183" s="46" t="str">
        <x:v>As stated in international course list</x:v>
      </x:c>
      <x:c r="P183" s="46" t="str">
        <x:v>2026</x:v>
      </x:c>
      <x:c r="Q183" s="46" t="str">
        <x:v>No 2027 intake in this verified row</x:v>
      </x:c>
      <x:c r="R183" s="46" t="str">
        <x:v>To see the information for international students change your location using the button at the top right of the screen. Timetable Monday, 9am-1pmTuesday, 9am-1pmWednesday, 9am-1pmThursday, 9am-1pm Part-time learners can select 1-3 days per week. *Please note: timetable is subject to change. Career Opportunities Junior or trainee hospitality management roles, supervisor or team leader roles across a range of hospitality sectors such as kitchens, restaurants, bars, cafes, accommodation, catering or hotels. Topic Overview Professionalism and core skills for tourism and hospitality Introduction to the tourism and hospitality industry Supervisory skills for tourism and hospitality Hotel operations Showcasing tourism, travel hospitality and gastronomy Managing the customer experience Planning an</x:v>
      </x:c>
      <x:c r="S183" s="46" t="str">
        <x:v>Level 5 certificate or diploma IELTS Academic score of 5.5 with no band score lower than 5 or completed NZ Certificate in English Language Level 4 with the Academic Endorsement or meets a relevant English Proficiency Outcome as outlined by NZQA. Course Locations and Intake Information Location Campus Start Date Rotorua Mokoia Campus 20 Jul 2026 Apply now Rotorua Mokoia Campus 22 Feb 2027 Apply now Course Unavailable in Your Location? Register your interest and we'll be in touch with available options. Important Dates View calendar of start dates and events Get a summary of this page Further Study Options Courses Offered at Toi Ohomai Postgrad</x:v>
      </x:c>
      <x:c r="T183" s="46"/>
      <x:c r="U183" s="46" t="str">
        <x:v>No programme-specific scholarship confirmed in the international course list.</x:v>
      </x:c>
      <x:c r="V183" s="59" t="str">
        <x:v>https://www.toiohomai.ac.nz/study/course/new-zealand-diploma-hospitality-management-level-5</x:v>
      </x:c>
      <x:c r="W183" s="59" t="str">
        <x:v>https://www.toiohomai.ac.nz/study/international-courses-list</x:v>
      </x:c>
      <x:c r="X183" s="46" t="str">
        <x:v>2026-07-29</x:v>
      </x:c>
      <x:c r="Y183" s="46" t="str">
        <x:v>Double-checked: live programme page + official international source</x:v>
      </x:c>
      <x:c r="Z183" s="46" t="str">
        <x:v>The international list says fees are indicative. Live pages state that 2027 fees are not yet confirmed. 2027 planning date is projected from the 2026 start pattern and is not provider-confirmed.</x:v>
      </x:c>
      <x:c r="AA183" s="46" t="str">
        <x:v>Projected from 2026 pattern: Nov 2027</x:v>
      </x:c>
      <x:c r="AB183" s="46" t="str">
        <x:v>Projected from 2026 pattern — not provider-published; reconfirm before application</x:v>
      </x:c>
      <x:c r="AC183" s="47" t="str">
        <x:v>Projected from 2026 pattern: Nov 2027</x:v>
      </x:c>
    </x:row>
    <x:row r="184" ht="48" customHeight="1">
      <x:c r="A184" s="51" t="str">
        <x:v>Toi Ohomai Institute of Technology</x:v>
      </x:c>
      <x:c r="B184" s="52" t="str">
        <x:v>Toi Ohomai</x:v>
      </x:c>
      <x:c r="C184" s="52" t="str">
        <x:v>Business &amp; Management</x:v>
      </x:c>
      <x:c r="D184" s="52" t="str">
        <x:v>New Zealand Certificate in Animal Management (Companion Animals) (Level 4)</x:v>
      </x:c>
      <x:c r="E184" s="52"/>
      <x:c r="F184" s="52" t="n">
        <x:v>4</x:v>
      </x:c>
      <x:c r="G184" s="52" t="str">
        <x:v>Certificate</x:v>
      </x:c>
      <x:c r="H184" s="52" t="str">
        <x:v>On campus / in-person (may include blended components)</x:v>
      </x:c>
      <x:c r="I184" s="52" t="str">
        <x:v>Yes — provider publishes international/on-campus availability</x:v>
      </x:c>
      <x:c r="J184" s="52" t="str">
        <x:v>Tauranga</x:v>
      </x:c>
      <x:c r="K184" s="52" t="str">
        <x:v>1 year full-time, including holidays (if applicable)</x:v>
      </x:c>
      <x:c r="L184" s="52"/>
      <x:c r="M184" s="52" t="str">
        <x:v>Feb 2027</x:v>
      </x:c>
      <x:c r="N184" s="52" t="str">
        <x:v>$26,520</x:v>
      </x:c>
      <x:c r="O184" s="52" t="str">
        <x:v>As stated in international course list</x:v>
      </x:c>
      <x:c r="P184" s="52" t="str">
        <x:v>2026</x:v>
      </x:c>
      <x:c r="Q184" s="52" t="str">
        <x:v>Not published; 2026 fee shown only</x:v>
      </x:c>
      <x:c r="R184" s="52" t="str">
        <x:v>To see the information for international students change your location using the button at the top right of the screen. Timetable On campus: Tuesday &amp; WednesdayOnline: Thursday (plus some animal duties offsite) *Please note: timetable is subject to change. Career Opportunities Graduates will be able to work as supervisors or technicians involved with the day-to-day care and welfare of animals. This may be in roles such as animal centre worker, animal sanctuary worker, supervisor of kennels, cattery or doggie daycare, animal rehabilitation, breeding, or quarantine facility. Topic Overview ANML 4002: Anatomy and Physiology ANML 4122: Companion Animal Husbandry A ANML 4123: Companion Animal Husbandry B ANML 4124: Companion Animal Healthcare ANML 4125: Companion Animal Behaviour ANML 4126: Com</x:v>
      </x:c>
      <x:c r="S184" s="52" t="str">
        <x:v>Level 4 certificate IELTS General or Academic score of 5.5 with no band score lower than 5 or completed New Zealand Certificate in English Language Level 3 with an endorsement of either General, Workplace or Academic, or meets a relevant English Proficiency Outcome as outlined by NZQA. Course Locations and Intake Information Location Campus Start Date Tauranga Windermere Campus 22 Feb 2027 Apply now Course Unavailable in Your Location? Register your interest and we'll be in touch with available options. Important Dates View calendar of start dates and events Get a summary of this page Further Study Options Courses Offered at Toi Ohomai New Ze</x:v>
      </x:c>
      <x:c r="T184" s="52"/>
      <x:c r="U184" s="52" t="str">
        <x:v>No programme-specific scholarship confirmed in the international course list.</x:v>
      </x:c>
      <x:c r="V184" s="58" t="str">
        <x:v>https://www.toiohomai.ac.nz/study/course/new-zealand-certificate-animal-management-companion-animals-level-4</x:v>
      </x:c>
      <x:c r="W184" s="58" t="str">
        <x:v>https://www.toiohomai.ac.nz/study/international-courses-list</x:v>
      </x:c>
      <x:c r="X184" s="52" t="str">
        <x:v>2026-07-29</x:v>
      </x:c>
      <x:c r="Y184" s="52" t="str">
        <x:v>Double-checked: live programme page + official international source</x:v>
      </x:c>
      <x:c r="Z184" s="52" t="str">
        <x:v>The international list says fees are indicative. Live pages state that 2027 fees are not yet confirmed.</x:v>
      </x:c>
      <x:c r="AA184" s="52"/>
      <x:c r="AB184" s="52" t="str">
        <x:v>Published by provider</x:v>
      </x:c>
      <x:c r="AC184" s="53" t="str">
        <x:v>Feb 2027</x:v>
      </x:c>
    </x:row>
    <x:row r="185" ht="48" customHeight="1">
      <x:c r="A185" s="45" t="str">
        <x:v>Toi Ohomai Institute of Technology</x:v>
      </x:c>
      <x:c r="B185" s="46" t="str">
        <x:v>Toi Ohomai</x:v>
      </x:c>
      <x:c r="C185" s="46" t="str">
        <x:v>Computing &amp; IT</x:v>
      </x:c>
      <x:c r="D185" s="46" t="str">
        <x:v>Bachelor of Applied Information Technology</x:v>
      </x:c>
      <x:c r="E185" s="46"/>
      <x:c r="F185" s="46" t="n">
        <x:v>7</x:v>
      </x:c>
      <x:c r="G185" s="46" t="str">
        <x:v>Bachelor's Degree</x:v>
      </x:c>
      <x:c r="H185" s="46" t="str">
        <x:v>On campus / in-person (may include blended components)</x:v>
      </x:c>
      <x:c r="I185" s="46" t="str">
        <x:v>Yes — provider publishes international/on-campus availability</x:v>
      </x:c>
      <x:c r="J185" s="46" t="str">
        <x:v>Rotorua; Tauranga</x:v>
      </x:c>
      <x:c r="K185" s="46" t="str">
        <x:v>3 years full-time, including holidays (if applicable); part-time study available</x:v>
      </x:c>
      <x:c r="L185" s="46"/>
      <x:c r="M185" s="46" t="str">
        <x:v>Feb 2027</x:v>
      </x:c>
      <x:c r="N185" s="46" t="str">
        <x:v>$24,700 per year</x:v>
      </x:c>
      <x:c r="O185" s="46" t="str">
        <x:v>As stated in international course list</x:v>
      </x:c>
      <x:c r="P185" s="46" t="str">
        <x:v>2026</x:v>
      </x:c>
      <x:c r="Q185" s="46" t="str">
        <x:v>Not published; 2026 fee shown only</x:v>
      </x:c>
      <x:c r="R185" s="46" t="str">
        <x:v>To see the information for international students change your location using the button at the top right of the screen. Timetable Monday, 9am-12pm &amp; 1pm-4pmTuesday, 9am-12pm &amp; 1pm-4pmWednesday, 9am-11am, 12pm-2pm, 1pm-3pmThursday, 9am-11am, 12pm-2pm *Please note: timetable is subject to change. Career Opportunities Technical Specialist Software Engineer Software and</x:v>
      </x:c>
      <x:c r="S185" s="46"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20 Jul 2026 Apply now Rotorua Mokoia Campus 22 Feb 2027 Apply now Tauranga Windermere Campus 22 Feb 2027 Apply now Course Unavailable in Your Location? Register your interest and we'll be in touch with available options. Important Dates View calendar of start dates and events Get a summary of this page Further Study Options Course</x:v>
      </x:c>
      <x:c r="T185" s="46"/>
      <x:c r="U185" s="46" t="str">
        <x:v>No programme-specific scholarship confirmed in the international course list.</x:v>
      </x:c>
      <x:c r="V185" s="59" t="str">
        <x:v>https://www.toiohomai.ac.nz/study/course/bachelor-applied-information-technology</x:v>
      </x:c>
      <x:c r="W185" s="59" t="str">
        <x:v>https://www.toiohomai.ac.nz/study/international-courses-list</x:v>
      </x:c>
      <x:c r="X185" s="46" t="str">
        <x:v>2026-07-29</x:v>
      </x:c>
      <x:c r="Y185" s="46" t="str">
        <x:v>Double-checked: live programme page + official international source</x:v>
      </x:c>
      <x:c r="Z185" s="46" t="str">
        <x:v>The international list says fees are indicative. Live pages state that 2027 fees are not yet confirmed.</x:v>
      </x:c>
      <x:c r="AA185" s="46"/>
      <x:c r="AB185" s="46" t="str">
        <x:v>Published by provider</x:v>
      </x:c>
      <x:c r="AC185" s="47" t="str">
        <x:v>Feb 2027</x:v>
      </x:c>
    </x:row>
    <x:row r="186" ht="48" customHeight="1">
      <x:c r="A186" s="51" t="str">
        <x:v>Toi Ohomai Institute of Technology</x:v>
      </x:c>
      <x:c r="B186" s="52" t="str">
        <x:v>Toi Ohomai</x:v>
      </x:c>
      <x:c r="C186" s="52" t="str">
        <x:v>Construction &amp; Architecture</x:v>
      </x:c>
      <x:c r="D186" s="52" t="str">
        <x:v>New Zealand Diploma in Architectural Technology (Level 6)</x:v>
      </x:c>
      <x:c r="E186" s="52"/>
      <x:c r="F186" s="52" t="n">
        <x:v>6</x:v>
      </x:c>
      <x:c r="G186" s="52" t="str">
        <x:v>Diploma</x:v>
      </x:c>
      <x:c r="H186" s="52" t="str">
        <x:v>On campus / in-person (may include blended components)</x:v>
      </x:c>
      <x:c r="I186" s="52" t="str">
        <x:v>Yes — provider publishes international/on-campus availability</x:v>
      </x:c>
      <x:c r="J186" s="52" t="str">
        <x:v>Tauranga</x:v>
      </x:c>
      <x:c r="K186" s="52" t="str">
        <x:v>2 years full-time, including holidays (if applicable); part-time study available</x:v>
      </x:c>
      <x:c r="L186" s="52"/>
      <x:c r="M186" s="52" t="str">
        <x:v>Feb 2027</x:v>
      </x:c>
      <x:c r="N186" s="52" t="str">
        <x:v>$26,520 per year</x:v>
      </x:c>
      <x:c r="O186" s="52" t="str">
        <x:v>As stated in international course list</x:v>
      </x:c>
      <x:c r="P186" s="52" t="str">
        <x:v>2026</x:v>
      </x:c>
      <x:c r="Q186" s="52" t="str">
        <x:v>Not published; 2026 fee shown only</x:v>
      </x:c>
      <x:c r="R186" s="52" t="str">
        <x:v>To see the information for international students change your location using the button at the top right of the screen. Timetable Year 1: 3 days per week (9am - 3.30pm)Year 2: 2-3 days per week (9am - 3.30pm)Flexible options available to reduce campus time *Please note: timetable is subject to change. Career Opportunities Architectural Designer (Licensed Building Practitioner – Design pathway) Architectural Technician CAD Technician Draughtsperson for Truss or Frame Manufacturers Draughtsperson for an Engineer, Landscape Designer, Interior Designer or Kitchen &amp; Bathroom Designer Building Certification/Building Inspector Topic Overview Year 1 – Foundations (Level 5) Introduction to Construction – Learn the fundamentals of the construction industry, including roles, responsibilities, documen</x:v>
      </x:c>
      <x:c r="S186" s="52" t="str">
        <x:v>IELTS Academic score of 6 with no band score lower than 5.5 or completed New Zealand Certificate in English Language Level 4 with the Academic Endorsement or meets a relevant English Proficiency Outcome as outlined by NZQA. Course Locations and Intake Information Part-time study can be done through completing 1-3 papers per semester. Location Campus Start Date Tauranga Windermere Campus 15 Feb 2027 Apply now Course Unavailable in Your Location? Register your interest and we'll be in touch with available options. Important Dates View calendar of start dates and events Get a summary of this page Further Study Options Courses Offered at Toi Ohom</x:v>
      </x:c>
      <x:c r="T186" s="52"/>
      <x:c r="U186" s="52" t="str">
        <x:v>No programme-specific scholarship confirmed in the international course list.</x:v>
      </x:c>
      <x:c r="V186" s="58" t="str">
        <x:v>https://www.toiohomai.ac.nz/study/course/new-zealand-diploma-architectural-technology-level-6</x:v>
      </x:c>
      <x:c r="W186" s="58" t="str">
        <x:v>https://www.toiohomai.ac.nz/study/international-courses-list</x:v>
      </x:c>
      <x:c r="X186" s="52" t="str">
        <x:v>2026-07-29</x:v>
      </x:c>
      <x:c r="Y186" s="52" t="str">
        <x:v>Double-checked: live programme page + official international source</x:v>
      </x:c>
      <x:c r="Z186" s="52" t="str">
        <x:v>The international list says fees are indicative. Live pages state that 2027 fees are not yet confirmed.</x:v>
      </x:c>
      <x:c r="AA186" s="52"/>
      <x:c r="AB186" s="52" t="str">
        <x:v>Published by provider</x:v>
      </x:c>
      <x:c r="AC186" s="53" t="str">
        <x:v>Feb 2027</x:v>
      </x:c>
    </x:row>
    <x:row r="187" ht="48" customHeight="1">
      <x:c r="A187" s="45" t="str">
        <x:v>Toi Ohomai Institute of Technology</x:v>
      </x:c>
      <x:c r="B187" s="46" t="str">
        <x:v>Toi Ohomai</x:v>
      </x:c>
      <x:c r="C187" s="46" t="str">
        <x:v>Construction &amp; Architecture</x:v>
      </x:c>
      <x:c r="D187" s="46" t="str">
        <x:v>New Zealand Diploma in Construction (Quantity Surveying) (Level 6)</x:v>
      </x:c>
      <x:c r="E187" s="46"/>
      <x:c r="F187" s="46" t="n">
        <x:v>6</x:v>
      </x:c>
      <x:c r="G187" s="46" t="str">
        <x:v>Diploma</x:v>
      </x:c>
      <x:c r="H187" s="46" t="str">
        <x:v>On campus / in-person (may include blended components)</x:v>
      </x:c>
      <x:c r="I187" s="46" t="str">
        <x:v>Yes — provider publishes international/on-campus availability</x:v>
      </x:c>
      <x:c r="J187" s="46" t="str">
        <x:v>Tauranga</x:v>
      </x:c>
      <x:c r="K187" s="46" t="str">
        <x:v>2 years full-time, including holidays (if applicable); part-time study available</x:v>
      </x:c>
      <x:c r="L187" s="46" t="str">
        <x:v>Nov 2026</x:v>
      </x:c>
      <x:c r="M187" s="46"/>
      <x:c r="N187" s="46" t="str">
        <x:v>$26,520 per year</x:v>
      </x:c>
      <x:c r="O187" s="46" t="str">
        <x:v>As stated in international course list</x:v>
      </x:c>
      <x:c r="P187" s="46" t="str">
        <x:v>2026</x:v>
      </x:c>
      <x:c r="Q187" s="46" t="str">
        <x:v>No 2027 intake in this verified row</x:v>
      </x:c>
      <x:c r="R187" s="46" t="str">
        <x:v>To see the information for international students change your location using the button at the top right of the screen. Timetable Monday, 9am-2pmTuesday, 9am-3.30pmThursday, 9am-2pm Part time students can enrol into two courses and time on campus can be from one day per week, 9am-3.30pm. *Please note: timetable is subject to change. Career Opportunities Quantity Surveyor Project Manager Project Engineer Topic Overview Level 5 CONS5001: Introduction to Construction CONS5002: Materials and Structural Principles CONS5003: Environment CONS5004: Services CONS5005: Construction 1 Residential CONS5006: Laws and Contracts CONS5007: Introduction to Measurement and Estimation CONS5508: Estimation CONS5509: Measurement 1 Level 6 CONS6001: Construction 2 Commercial CONS6002: Financial Administration C</x:v>
      </x:c>
      <x:c r="S187" s="46"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20 Jul 2026 Apply now Tauranga Windermere Campus 9 Nov 2026 Apply now Tauranga Windermere Campus 15 Feb 2027 Apply now Tauranga Windermere Campus 19 Jul 2027 Apply now Course Unavailable in Your Location? Register your interest and we'll be in touch with available options. Important Dates View calendar of start dates and events Ge</x:v>
      </x:c>
      <x:c r="T187" s="46"/>
      <x:c r="U187" s="46" t="str">
        <x:v>No programme-specific scholarship confirmed in the international course list.</x:v>
      </x:c>
      <x:c r="V187" s="59" t="str">
        <x:v>https://www.toiohomai.ac.nz/study/course/new-zealand-diploma-construction-quantity-surveying-level-6</x:v>
      </x:c>
      <x:c r="W187" s="59" t="str">
        <x:v>https://www.toiohomai.ac.nz/study/international-courses-list</x:v>
      </x:c>
      <x:c r="X187" s="46" t="str">
        <x:v>2026-07-29</x:v>
      </x:c>
      <x:c r="Y187" s="46" t="str">
        <x:v>Double-checked: live programme page + official international source</x:v>
      </x:c>
      <x:c r="Z187" s="46" t="str">
        <x:v>The international list says fees are indicative. Live pages state that 2027 fees are not yet confirmed. 2027 planning date is projected from the 2026 start pattern and is not provider-confirmed.</x:v>
      </x:c>
      <x:c r="AA187" s="46" t="str">
        <x:v>Projected from 2026 pattern: Nov 2027</x:v>
      </x:c>
      <x:c r="AB187" s="46" t="str">
        <x:v>Projected from 2026 pattern — not provider-published; reconfirm before application</x:v>
      </x:c>
      <x:c r="AC187" s="47" t="str">
        <x:v>Projected from 2026 pattern: Nov 2027</x:v>
      </x:c>
    </x:row>
    <x:row r="188" ht="48" customHeight="1">
      <x:c r="A188" s="51" t="str">
        <x:v>Toi Ohomai Institute of Technology</x:v>
      </x:c>
      <x:c r="B188" s="52" t="str">
        <x:v>Toi Ohomai</x:v>
      </x:c>
      <x:c r="C188" s="52" t="str">
        <x:v>Creative Arts &amp; Media</x:v>
      </x:c>
      <x:c r="D188" s="52" t="str">
        <x:v>Bachelor of Creative Industries</x:v>
      </x:c>
      <x:c r="E188" s="52"/>
      <x:c r="F188" s="52" t="n">
        <x:v>7</x:v>
      </x:c>
      <x:c r="G188" s="52" t="str">
        <x:v>Bachelor's Degree</x:v>
      </x:c>
      <x:c r="H188" s="52" t="str">
        <x:v>On campus / in-person (may include blended components)</x:v>
      </x:c>
      <x:c r="I188" s="52" t="str">
        <x:v>Yes — provider publishes international/on-campus availability</x:v>
      </x:c>
      <x:c r="J188" s="52" t="str">
        <x:v>Tauranga</x:v>
      </x:c>
      <x:c r="K188" s="52" t="str">
        <x:v>3 years full-time, including holidays (if applicable); part-time study available</x:v>
      </x:c>
      <x:c r="L188" s="52"/>
      <x:c r="M188" s="52" t="str">
        <x:v>Feb 2027</x:v>
      </x:c>
      <x:c r="N188" s="52" t="str">
        <x:v>$26,520 per year</x:v>
      </x:c>
      <x:c r="O188" s="52" t="str">
        <x:v>As stated in international course list</x:v>
      </x:c>
      <x:c r="P188" s="52" t="str">
        <x:v>2026</x:v>
      </x:c>
      <x:c r="Q188" s="52" t="str">
        <x:v>Not published; 2026 fee shown only</x:v>
      </x:c>
      <x:c r="R188" s="52" t="str">
        <x:v>To see the information for international students change your location using the button at the top right of the screen. Timetable Layout Design: Monday, 9am-2pmVisual &amp; Cultural Perspective: Tuesday, 9am-2pmProduct Design: Wednesday, 9am-2pmVisual Forms and Technologies: Thursday, 9am-2pm Part time students choose one or two courses. *Please note: timetable is subject to change. Career Opportunities Explore diverse creative paths across design, art, and education: Product DesignCreative Designer • UX/UI Designer • Design Researcher • Packaging Designer Communication DesignBrand Designer • Graphic Designer • Motion Graphics Designer • UI Designer • Packaging Designer • Social Media Designer • Content Creator • Creative Director Experience DesignUX Designer • Interaction Designer • CX Design</x:v>
      </x:c>
      <x:c r="S188" s="52"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20 Jul 2026 Apply now Tauranga Windermere Campus 22 Feb 2027 Apply now Tauranga Windermere Campus 19 Jul 2027 Apply now Course Unavailable in Your Location? Register your interest and we'll be in touch with available options. Important Dates View calendar of start dates and events Get a summary of this page Read a student’s story </x:v>
      </x:c>
      <x:c r="T188" s="52"/>
      <x:c r="U188" s="52" t="str">
        <x:v>No programme-specific scholarship confirmed in the international course list.</x:v>
      </x:c>
      <x:c r="V188" s="58" t="str">
        <x:v>https://www.toiohomai.ac.nz/study/course/bachelor-creative-industries</x:v>
      </x:c>
      <x:c r="W188" s="58" t="str">
        <x:v>https://www.toiohomai.ac.nz/study/international-courses-list</x:v>
      </x:c>
      <x:c r="X188" s="52" t="str">
        <x:v>2026-07-29</x:v>
      </x:c>
      <x:c r="Y188" s="52" t="str">
        <x:v>Double-checked: live programme page + official international source</x:v>
      </x:c>
      <x:c r="Z188" s="52" t="str">
        <x:v>The international list says fees are indicative. Live pages state that 2027 fees are not yet confirmed.</x:v>
      </x:c>
      <x:c r="AA188" s="52"/>
      <x:c r="AB188" s="52" t="str">
        <x:v>Published by provider</x:v>
      </x:c>
      <x:c r="AC188" s="53" t="str">
        <x:v>Feb 2027</x:v>
      </x:c>
    </x:row>
    <x:row r="189" ht="48" customHeight="1">
      <x:c r="A189" s="45" t="str">
        <x:v>Toi Ohomai Institute of Technology</x:v>
      </x:c>
      <x:c r="B189" s="46" t="str">
        <x:v>Toi Ohomai</x:v>
      </x:c>
      <x:c r="C189" s="46" t="str">
        <x:v>Education &amp; Social Services</x:v>
      </x:c>
      <x:c r="D189" s="46" t="str">
        <x:v>Master of Applied Professional Studies (Adult Teaching)</x:v>
      </x:c>
      <x:c r="E189" s="46"/>
      <x:c r="F189" s="46" t="n">
        <x:v>9</x:v>
      </x:c>
      <x:c r="G189" s="46" t="str">
        <x:v>Master's Degree</x:v>
      </x:c>
      <x:c r="H189" s="46" t="str">
        <x:v>On campus / in-person (may include blended components)</x:v>
      </x:c>
      <x:c r="I189" s="46" t="str">
        <x:v>Yes — provider publishes international/on-campus availability</x:v>
      </x:c>
      <x:c r="J189" s="46" t="str">
        <x:v>Rotorua; Tauranga</x:v>
      </x:c>
      <x:c r="K189" s="46" t="str">
        <x:v>1.5 years full-time, including holidays (if applicable); part-time study available</x:v>
      </x:c>
      <x:c r="L189" s="46" t="str">
        <x:v>Nov 2026</x:v>
      </x:c>
      <x:c r="M189" s="46"/>
      <x:c r="N189" s="46" t="str">
        <x:v>$36,270</x:v>
      </x:c>
      <x:c r="O189" s="46" t="str">
        <x:v>As stated in international course list</x:v>
      </x:c>
      <x:c r="P189" s="46" t="str">
        <x:v>2026</x:v>
      </x:c>
      <x:c r="Q189" s="46" t="str">
        <x:v>No 2027 intake in this verified row</x:v>
      </x:c>
      <x:c r="R189" s="46" t="str">
        <x:v>To see the information for international students change your location using the button at the top right of the screen. Timetable Monday, 1pm-4pm *Please note: timetable is subject to change. Career Opportunities Advancement or employment related to your current field of practice, in roles such as: Tertiary Lecturer/Tutor Staff Development and Training Officer Educational Resources Designer/Writer Academic Manager Topic Overview Critical Reflective Practice Adult Learning Theory Assessing for Learning Designing Learning Programmes for Adult Learners Adult Teaching Practice Nga Tikanga Rangahau: Research Protocols Research Project OR Dissertation Course Fees Indicative Fees * $13,271 for domestic students *Please note, fees for our 2027 intakes are yet to be confirmed. Once they are, we wil</x:v>
      </x:c>
      <x:c r="S189" s="46" t="str">
        <x:v>IELTS Academic score of 6.5 with no band score lower than 6 or completed New Zealand Certificate in English Language Level 5 with the Academic Endorsement or meets a relevant English Proficiency Outcome as outlined by NZQA. Course Locations and Intake Information Location Campus Start Date Tauranga Windermere Campus 20 Jul 2026 Apply now Rotorua Mokoia Campus 9 Nov 2026 Apply now Rotorua Mokoia Campus 22 Feb 2027 Apply now Tauranga Windermere Campus 19 Jul 2027 Apply now Course Unavailable in Your Location? Register your interest and we'll be in touch with available options. Important Dates View calendar of start dates and events Get a summar</x:v>
      </x:c>
      <x:c r="T189" s="46"/>
      <x:c r="U189" s="46" t="str">
        <x:v>No programme-specific scholarship confirmed in the international course list.</x:v>
      </x:c>
      <x:c r="V189" s="59" t="str">
        <x:v>https://www.toiohomai.ac.nz/study/course/master-applied-professional-studies-adult-teaching</x:v>
      </x:c>
      <x:c r="W189" s="59" t="str">
        <x:v>https://www.toiohomai.ac.nz/study/international-courses-list</x:v>
      </x:c>
      <x:c r="X189" s="46" t="str">
        <x:v>2026-07-29</x:v>
      </x:c>
      <x:c r="Y189" s="46" t="str">
        <x:v>Double-checked: live programme page + official international source</x:v>
      </x:c>
      <x:c r="Z189" s="46" t="str">
        <x:v>The international list says fees are indicative. Live pages state that 2027 fees are not yet confirmed. 2027 planning date is projected from the 2026 start pattern and is not provider-confirmed.</x:v>
      </x:c>
      <x:c r="AA189" s="46" t="str">
        <x:v>Projected from 2026 pattern: Nov 2027</x:v>
      </x:c>
      <x:c r="AB189" s="46" t="str">
        <x:v>Projected from 2026 pattern — not provider-published; reconfirm before application</x:v>
      </x:c>
      <x:c r="AC189" s="47" t="str">
        <x:v>Projected from 2026 pattern: Nov 2027</x:v>
      </x:c>
    </x:row>
    <x:row r="190" ht="48" customHeight="1">
      <x:c r="A190" s="51" t="str">
        <x:v>Toi Ohomai Institute of Technology</x:v>
      </x:c>
      <x:c r="B190" s="52" t="str">
        <x:v>Toi Ohomai</x:v>
      </x:c>
      <x:c r="C190" s="52" t="str">
        <x:v>Education &amp; Social Services</x:v>
      </x:c>
      <x:c r="D190" s="52" t="str">
        <x:v>Master of Teaching Early Childhood Education</x:v>
      </x:c>
      <x:c r="E190" s="52"/>
      <x:c r="F190" s="52" t="n">
        <x:v>9</x:v>
      </x:c>
      <x:c r="G190" s="52" t="str">
        <x:v>Master's Degree</x:v>
      </x:c>
      <x:c r="H190" s="52" t="str">
        <x:v>On campus / in-person (may include blended components)</x:v>
      </x:c>
      <x:c r="I190" s="52" t="str">
        <x:v>Yes — provider publishes international/on-campus availability</x:v>
      </x:c>
      <x:c r="J190" s="52" t="str">
        <x:v>Rotorua; Tauranga</x:v>
      </x:c>
      <x:c r="K190" s="52" t="str">
        <x:v>1.5 years full-time, including holidays (if applicable); part-time study available</x:v>
      </x:c>
      <x:c r="L190" s="52"/>
      <x:c r="M190" s="52" t="str">
        <x:v>Feb 2027</x:v>
      </x:c>
      <x:c r="N190" s="52" t="str">
        <x:v>$41,106</x:v>
      </x:c>
      <x:c r="O190" s="52" t="str">
        <x:v>As stated in international course list</x:v>
      </x:c>
      <x:c r="P190" s="52" t="str">
        <x:v>2026</x:v>
      </x:c>
      <x:c r="Q190" s="52" t="str">
        <x:v>Not published; 2026 fee shown only</x:v>
      </x:c>
      <x:c r="R190" s="52" t="str">
        <x:v>To see the information for international students change your location using the button at the top right of the screen. Timetable Tuesday, 9am-3pmThursday, 9am-3pm Practical placement in centre 4 weeks full-time is required in both full-time and part-time study. *Please note: timetable is subject to change. Career Opportunities Registered early childhood education teacher Leader or manager in an early childhood setting Resource teacher Education advisor Curriculum advisor/developer Policy analyst/advisor Facilitator Professional development and in-service teacher educator Centre manager/supervisor/team leader Curriculum leader Consultant Researcher Topic Overview Building professional relationships and understanding ethical practice Exploring early childhood regulations, standards, and exp</x:v>
      </x:c>
      <x:c r="S190" s="52" t="str">
        <x:v>IELTS Academic score of 7.0 in all bands or PTE (Academic) scores in the following bands ( Listening – 61, Reading – 62, Writing – 73, Speaking – 79, Overall – 69) or meets a relevant English Proficiency Outcome as outlined by the Teaching Council of New Zealand. You can meet the requirements through using the results from more than one test (Results must have been achieved within last two years). Literacy (English Language Competency) Requirements You'll be required to pass a literacy test equivalent to Level 6 of the National Adult Literacy and Numeracy tool for adults. English Language Competency for English as an Additional Language (EAL)</x:v>
      </x:c>
      <x:c r="T190" s="52"/>
      <x:c r="U190" s="52" t="str">
        <x:v>No programme-specific scholarship confirmed in the international course list.</x:v>
      </x:c>
      <x:c r="V190" s="58" t="str">
        <x:v>https://www.toiohomai.ac.nz/study/course/master-teaching-early-childhood-education</x:v>
      </x:c>
      <x:c r="W190" s="58" t="str">
        <x:v>https://www.toiohomai.ac.nz/study/international-courses-list</x:v>
      </x:c>
      <x:c r="X190" s="52" t="str">
        <x:v>2026-07-29</x:v>
      </x:c>
      <x:c r="Y190" s="52" t="str">
        <x:v>Double-checked: live programme page + official international source</x:v>
      </x:c>
      <x:c r="Z190" s="52" t="str">
        <x:v>The international list says fees are indicative. Live pages state that 2027 fees are not yet confirmed.</x:v>
      </x:c>
      <x:c r="AA190" s="52"/>
      <x:c r="AB190" s="52" t="str">
        <x:v>Published by provider</x:v>
      </x:c>
      <x:c r="AC190" s="53" t="str">
        <x:v>Feb 2027</x:v>
      </x:c>
    </x:row>
    <x:row r="191" ht="48" customHeight="1">
      <x:c r="A191" s="45" t="str">
        <x:v>Toi Ohomai Institute of Technology</x:v>
      </x:c>
      <x:c r="B191" s="46" t="str">
        <x:v>Toi Ohomai</x:v>
      </x:c>
      <x:c r="C191" s="46" t="str">
        <x:v>Education &amp; Social Services</x:v>
      </x:c>
      <x:c r="D191" s="46" t="str">
        <x:v>Postgraduate Diploma in Applied Professional Studies (Adult Teaching)</x:v>
      </x:c>
      <x:c r="E191" s="46"/>
      <x:c r="F191" s="46" t="n">
        <x:v>8</x:v>
      </x:c>
      <x:c r="G191" s="46" t="str">
        <x:v>Postgraduate Diploma</x:v>
      </x:c>
      <x:c r="H191" s="46" t="str">
        <x:v>On campus / in-person (may include blended components)</x:v>
      </x:c>
      <x:c r="I191" s="46" t="str">
        <x:v>Yes — provider publishes international/on-campus availability</x:v>
      </x:c>
      <x:c r="J191" s="46" t="str">
        <x:v>Rotorua; Tauranga</x:v>
      </x:c>
      <x:c r="K191" s="46" t="str">
        <x:v>1 year full-time, including holidays (if applicable); part-time study available</x:v>
      </x:c>
      <x:c r="L191" s="46" t="str">
        <x:v>Nov 2026</x:v>
      </x:c>
      <x:c r="M191" s="46"/>
      <x:c r="N191" s="46" t="str">
        <x:v>$25,740</x:v>
      </x:c>
      <x:c r="O191" s="46" t="str">
        <x:v>As stated in international course list</x:v>
      </x:c>
      <x:c r="P191" s="46" t="str">
        <x:v>2026</x:v>
      </x:c>
      <x:c r="Q191" s="46" t="str">
        <x:v>No 2027 intake in this verified row</x:v>
      </x:c>
      <x:c r="R191" s="46" t="str">
        <x:v>To see the information for international students change your location using the button at the top right of the screen. Timetable Monday, 9am-12pm &amp; 1pm-4pmTuesday, 9am-12pm &amp; 1pm-4pm *Please note: timetable is subject to change. Career Opportunities Advancement or employment related to your current field of practice, in roles such as: Tertiary Lecturer/Tutor Staff Development and Training Officer Educational Resources Designer/Writer Academic Manager Topic Overview Critical Reflective Practice Adult Learning Theory Assessing for Learning Designing Learning Programmes for Adult Learners Adult Teaching Practice Nga Tikanga Rangahau: Research Protocols Course Fees Indicative Fees * $8,848 for domestic students *Please note, fees for our 2027 intakes are yet to be confirmed. Once they are, we</x:v>
      </x:c>
      <x:c r="S191" s="46" t="str">
        <x:v>IELTS Academic score of 6.5 with no band score lower than 6 or completed New Zealand Certificate in English Language Level 5 with the Academic Endorsement or meets a relevant English Proficiency Outcome as outlined by NZQA. Course Locations and Intake Information Location Campus Start Date Tauranga Windermere Campus 20 Jul 2026 Apply now Rotorua Mokoia Campus 9 Nov 2026 Apply now Rotorua Mokoia Campus 22 Feb 2027 Apply now Tauranga Windermere Campus 19 Jul 2027 Apply now Course Unavailable in Your Location? Register your interest and we'll be in touch with available options. Important Dates View calendar of start dates and events Get a summar</x:v>
      </x:c>
      <x:c r="T191" s="46"/>
      <x:c r="U191" s="46" t="str">
        <x:v>No programme-specific scholarship confirmed in the international course list.</x:v>
      </x:c>
      <x:c r="V191" s="59" t="str">
        <x:v>https://www.toiohomai.ac.nz/study/course/postgraduate-diploma-applied-professional-studies-adult-teaching</x:v>
      </x:c>
      <x:c r="W191" s="59" t="str">
        <x:v>https://www.toiohomai.ac.nz/study/international-courses-list</x:v>
      </x:c>
      <x:c r="X191" s="46" t="str">
        <x:v>2026-07-29</x:v>
      </x:c>
      <x:c r="Y191" s="46" t="str">
        <x:v>Double-checked: live programme page + official international source</x:v>
      </x:c>
      <x:c r="Z191" s="46" t="str">
        <x:v>The international list says fees are indicative. Live pages state that 2027 fees are not yet confirmed. 2027 planning date is projected from the 2026 start pattern and is not provider-confirmed.</x:v>
      </x:c>
      <x:c r="AA191" s="46" t="str">
        <x:v>Projected from 2026 pattern: Nov 2027</x:v>
      </x:c>
      <x:c r="AB191" s="46" t="str">
        <x:v>Projected from 2026 pattern — not provider-published; reconfirm before application</x:v>
      </x:c>
      <x:c r="AC191" s="47" t="str">
        <x:v>Projected from 2026 pattern: Nov 2027</x:v>
      </x:c>
    </x:row>
    <x:row r="192" ht="48" customHeight="1">
      <x:c r="A192" s="51" t="str">
        <x:v>Toi Ohomai Institute of Technology</x:v>
      </x:c>
      <x:c r="B192" s="52" t="str">
        <x:v>Toi Ohomai</x:v>
      </x:c>
      <x:c r="C192" s="52" t="str">
        <x:v>Education &amp; Social Services</x:v>
      </x:c>
      <x:c r="D192" s="52" t="str">
        <x:v>Bachelor of Teaching Early Childhood Education</x:v>
      </x:c>
      <x:c r="E192" s="52"/>
      <x:c r="F192" s="52" t="n">
        <x:v>7</x:v>
      </x:c>
      <x:c r="G192" s="52" t="str">
        <x:v>Bachelor's Degree</x:v>
      </x:c>
      <x:c r="H192" s="52" t="str">
        <x:v>On campus / in-person (may include blended components)</x:v>
      </x:c>
      <x:c r="I192" s="52" t="str">
        <x:v>Yes — provider publishes international/on-campus availability</x:v>
      </x:c>
      <x:c r="J192" s="52" t="str">
        <x:v>Tauranga</x:v>
      </x:c>
      <x:c r="K192" s="52" t="str">
        <x:v>3 years full-time, including holidays (if applicable); part-time study available</x:v>
      </x:c>
      <x:c r="L192" s="52"/>
      <x:c r="M192" s="52" t="str">
        <x:v>Feb 2027</x:v>
      </x:c>
      <x:c r="N192" s="52" t="str">
        <x:v>$26,520 per year</x:v>
      </x:c>
      <x:c r="O192" s="52" t="str">
        <x:v>As stated in international course list</x:v>
      </x:c>
      <x:c r="P192" s="52" t="str">
        <x:v>2026</x:v>
      </x:c>
      <x:c r="Q192" s="52" t="str">
        <x:v>Not published; 2026 fee shown only</x:v>
      </x:c>
      <x:c r="R192" s="52" t="str">
        <x:v>To see the information for international students change your location using the button at the top right of the screen. Career Opportunities</x:v>
      </x:c>
      <x:c r="S192" s="52" t="str">
        <x:v>You must have an overall International English Language Testing System (IELTS) score of at least 7.0 with no band less than 7.0 (Academic). Course Locations and Intake Information Location Campus Start Date Tauranga Windermere Campus 22 Feb 2027 Apply now Course Unavailable in Your Location? Register your interest and we'll be in touch with available options. Important Dates View calendar of start dates and events Get a summary of this page Related Subjects TeachingQuality education forms the foundation for… Page last updated on 29-07-26 Connect Careers at Toi Ohomai Toi Ohomai FAQs 0800 86 46 46 [email protected] Legal Copyright Disclaimer P</x:v>
      </x:c>
      <x:c r="T192" s="52"/>
      <x:c r="U192" s="52" t="str">
        <x:v>No programme-specific scholarship confirmed in the international course list.</x:v>
      </x:c>
      <x:c r="V192" s="58" t="str">
        <x:v>https://www.toiohomai.ac.nz/study/course/bachelor-teaching-early-childhood-education</x:v>
      </x:c>
      <x:c r="W192" s="58" t="str">
        <x:v>https://www.toiohomai.ac.nz/study/international-courses-list</x:v>
      </x:c>
      <x:c r="X192" s="52" t="str">
        <x:v>2026-07-29</x:v>
      </x:c>
      <x:c r="Y192" s="52" t="str">
        <x:v>Double-checked: live programme page + official international source</x:v>
      </x:c>
      <x:c r="Z192" s="52" t="str">
        <x:v>The international list says fees are indicative. Live pages state that 2027 fees are not yet confirmed.</x:v>
      </x:c>
      <x:c r="AA192" s="52"/>
      <x:c r="AB192" s="52" t="str">
        <x:v>Published by provider</x:v>
      </x:c>
      <x:c r="AC192" s="53" t="str">
        <x:v>Feb 2027</x:v>
      </x:c>
    </x:row>
    <x:row r="193" ht="48" customHeight="1">
      <x:c r="A193" s="45" t="str">
        <x:v>Toi Ohomai Institute of Technology</x:v>
      </x:c>
      <x:c r="B193" s="46" t="str">
        <x:v>Toi Ohomai</x:v>
      </x:c>
      <x:c r="C193" s="46" t="str">
        <x:v>Education &amp; Social Services</x:v>
      </x:c>
      <x:c r="D193" s="46" t="str">
        <x:v>New Zealand Diploma in Early Childhood Education and Care (Level 5)</x:v>
      </x:c>
      <x:c r="E193" s="46"/>
      <x:c r="F193" s="46" t="n">
        <x:v>5</x:v>
      </x:c>
      <x:c r="G193" s="46" t="str">
        <x:v>Diploma</x:v>
      </x:c>
      <x:c r="H193" s="46" t="str">
        <x:v>On campus / in-person (may include blended components)</x:v>
      </x:c>
      <x:c r="I193" s="46" t="str">
        <x:v>Yes — provider publishes international/on-campus availability</x:v>
      </x:c>
      <x:c r="J193" s="46" t="str">
        <x:v>Rotorua; Tauranga</x:v>
      </x:c>
      <x:c r="K193" s="46" t="str">
        <x:v>1 year full-time, including holidays (if applicable); part-time study available</x:v>
      </x:c>
      <x:c r="L193" s="46"/>
      <x:c r="M193" s="46" t="str">
        <x:v>Feb 2027</x:v>
      </x:c>
      <x:c r="N193" s="46" t="str">
        <x:v>$26,520</x:v>
      </x:c>
      <x:c r="O193" s="46" t="str">
        <x:v>As stated in international course list</x:v>
      </x:c>
      <x:c r="P193" s="46" t="str">
        <x:v>2026</x:v>
      </x:c>
      <x:c r="Q193" s="46" t="str">
        <x:v>Not published; 2026 fee shown only</x:v>
      </x:c>
      <x:c r="R193" s="46" t="str">
        <x:v>To see the information for international students change your location using the button at the top right of the screen. Timetable Tuesday, 9am-3pmThursday, 9am-3pm Practical placement in centre 4 weeks full-time is required in both full-time and part-time study. *Please note: timetable is subject to change. Career Opportunities Early childhood educator in a range of early childhood contexts such as: Centre-based Hospital-based (play specialist assistant) Home-based Parent-led Nanny Culturally-based Topic Overview Building professional relationships and understanding ethical practice Exploring early childhood regulations, standards, and expectations Understanding curriculum and the principles of Te Whāriki Learning a range of teaching strategies and intentional teaching approaches Developin</x:v>
      </x:c>
      <x:c r="S193" s="46" t="str">
        <x:v>For applicants who come from non-English speaking backgrounds, an IELTS Academic score of 6.0 with no band score lower than 6.0 is required, or an equivalent relevant English Proficiency Outcome. Course Locations and Intake Information Location Campus Start Date Tauranga Windermere Campus 20 Jul 2026 Apply now Rotorua Mokoia Campus 22 Feb 2027 Apply now Tauranga Windermere Campus 22 Feb 2027 Apply now Course Unavailable in Your Location? Register your interest and we'll be in touch with available options. Important Dates View calendar of start dates and events Get a summary of this page Further Study Options Courses Offered at Toi Ohomai Bach</x:v>
      </x:c>
      <x:c r="T193" s="46"/>
      <x:c r="U193" s="46" t="str">
        <x:v>No programme-specific scholarship confirmed in the international course list.</x:v>
      </x:c>
      <x:c r="V193" s="59" t="str">
        <x:v>https://www.toiohomai.ac.nz/study/course/new-zealand-diploma-early-childhood-education-and-care-level-5</x:v>
      </x:c>
      <x:c r="W193" s="59" t="str">
        <x:v>https://www.toiohomai.ac.nz/study/international-courses-list</x:v>
      </x:c>
      <x:c r="X193" s="46" t="str">
        <x:v>2026-07-29</x:v>
      </x:c>
      <x:c r="Y193" s="46" t="str">
        <x:v>Double-checked: live programme page + official international source</x:v>
      </x:c>
      <x:c r="Z193" s="46" t="str">
        <x:v>The international list says fees are indicative. Live pages state that 2027 fees are not yet confirmed.</x:v>
      </x:c>
      <x:c r="AA193" s="46"/>
      <x:c r="AB193" s="46" t="str">
        <x:v>Published by provider</x:v>
      </x:c>
      <x:c r="AC193" s="47" t="str">
        <x:v>Feb 2027</x:v>
      </x:c>
    </x:row>
    <x:row r="194" ht="48" customHeight="1">
      <x:c r="A194" s="51" t="str">
        <x:v>Toi Ohomai Institute of Technology</x:v>
      </x:c>
      <x:c r="B194" s="52" t="str">
        <x:v>Toi Ohomai</x:v>
      </x:c>
      <x:c r="C194" s="52" t="str">
        <x:v>Engineering</x:v>
      </x:c>
      <x:c r="D194" s="52" t="str">
        <x:v>New Zealand Diploma in Engineering (Civil) (Level 6)</x:v>
      </x:c>
      <x:c r="E194" s="52"/>
      <x:c r="F194" s="52" t="n">
        <x:v>6</x:v>
      </x:c>
      <x:c r="G194" s="52" t="str">
        <x:v>Diploma</x:v>
      </x:c>
      <x:c r="H194" s="52" t="str">
        <x:v>On campus / in-person (may include blended components)</x:v>
      </x:c>
      <x:c r="I194" s="52" t="str">
        <x:v>Yes — provider publishes international/on-campus availability</x:v>
      </x:c>
      <x:c r="J194" s="52" t="str">
        <x:v>Tauranga</x:v>
      </x:c>
      <x:c r="K194" s="52" t="str">
        <x:v>2 years full-time, including holidays (if applicable); part-time study available</x:v>
      </x:c>
      <x:c r="L194" s="52"/>
      <x:c r="M194" s="52" t="str">
        <x:v>Feb 2027</x:v>
      </x:c>
      <x:c r="N194" s="52" t="str">
        <x:v>$29,703 per year</x:v>
      </x:c>
      <x:c r="O194" s="52" t="str">
        <x:v>As stated in international course list</x:v>
      </x:c>
      <x:c r="P194" s="52" t="str">
        <x:v>2026</x:v>
      </x:c>
      <x:c r="Q194" s="52" t="str">
        <x:v>Not published; 2026 fee shown only</x:v>
      </x:c>
      <x:c r="R194" s="52" t="str">
        <x:v>To see the information for international students change your location using the button at the top right of the screen. Career Opportunities Engineering Technician in Roading/Bridges/Design Office Civil Project Management Technical Support Engineer Supervising Technician Engineer New Zealand needs more diploma level civil engineering technicians to create roads, bridges, buildings and infrastructure as part of the Christchurch rebuild. The Government is also investing heavily into other infrastructure projects around the country - in areas like rail, roads, bridges, irrigation and waste water management - which is further driving the need for more technicians. Graduates can work in civil project management, as a technical support engineer, or as a supervising technician engineer. Potential</x:v>
      </x:c>
      <x:c r="S194" s="52"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15 Feb 2027 Apply now Course Unavailable in Your Location? Register your interest and we'll be in touch with available options. Important Dates View calendar of start dates and events Get a summary of this page Further Study Options Courses Currently Under Development at Toi Ohomai, or Offered at Other Institutions New Zealand Dip</x:v>
      </x:c>
      <x:c r="T194" s="52"/>
      <x:c r="U194" s="52" t="str">
        <x:v>No programme-specific scholarship confirmed in the international course list.</x:v>
      </x:c>
      <x:c r="V194" s="58" t="str">
        <x:v>https://www.toiohomai.ac.nz/study/course/new-zealand-diploma-engineering-civil-level-6</x:v>
      </x:c>
      <x:c r="W194" s="58" t="str">
        <x:v>https://www.toiohomai.ac.nz/study/international-courses-list</x:v>
      </x:c>
      <x:c r="X194" s="52" t="str">
        <x:v>2026-07-29</x:v>
      </x:c>
      <x:c r="Y194" s="52" t="str">
        <x:v>Double-checked: live programme page + official international source</x:v>
      </x:c>
      <x:c r="Z194" s="52" t="str">
        <x:v>The international list says fees are indicative. Live pages state that 2027 fees are not yet confirmed.</x:v>
      </x:c>
      <x:c r="AA194" s="52"/>
      <x:c r="AB194" s="52" t="str">
        <x:v>Published by provider</x:v>
      </x:c>
      <x:c r="AC194" s="53" t="str">
        <x:v>Feb 2027</x:v>
      </x:c>
    </x:row>
    <x:row r="195" ht="48" customHeight="1">
      <x:c r="A195" s="45" t="str">
        <x:v>Toi Ohomai Institute of Technology</x:v>
      </x:c>
      <x:c r="B195" s="46" t="str">
        <x:v>Toi Ohomai</x:v>
      </x:c>
      <x:c r="C195" s="46" t="str">
        <x:v>Engineering</x:v>
      </x:c>
      <x:c r="D195" s="46" t="str">
        <x:v>New Zealand Diploma in Engineering (Electrical) (Level 6)</x:v>
      </x:c>
      <x:c r="E195" s="46"/>
      <x:c r="F195" s="46" t="n">
        <x:v>6</x:v>
      </x:c>
      <x:c r="G195" s="46" t="str">
        <x:v>Diploma</x:v>
      </x:c>
      <x:c r="H195" s="46" t="str">
        <x:v>On campus / in-person (may include blended components)</x:v>
      </x:c>
      <x:c r="I195" s="46" t="str">
        <x:v>Yes — provider publishes international/on-campus availability</x:v>
      </x:c>
      <x:c r="J195" s="46" t="str">
        <x:v>Tauranga</x:v>
      </x:c>
      <x:c r="K195" s="46" t="str">
        <x:v>2 years full-time, including holidays (if applicable); part-time study available</x:v>
      </x:c>
      <x:c r="L195" s="46"/>
      <x:c r="M195" s="46" t="str">
        <x:v>Feb 2027</x:v>
      </x:c>
      <x:c r="N195" s="46" t="str">
        <x:v>$29,703 per year</x:v>
      </x:c>
      <x:c r="O195" s="46" t="str">
        <x:v>As stated in international course list</x:v>
      </x:c>
      <x:c r="P195" s="46" t="str">
        <x:v>2026</x:v>
      </x:c>
      <x:c r="Q195" s="46" t="str">
        <x:v>Not published; 2026 fee shown only</x:v>
      </x:c>
      <x:c r="R195" s="46" t="str">
        <x:v>To see the information for international students change your location using the button at the top right of the screen. Career Opportunities Technical Support Engineer Supervising Technician Engineer Technician Engineer Production Engineer Production Manager Production Maintenance Manager Topic Overview Year 1 topics include: Engineering Fundamentals - fundamentals of a range of engineering disciplines Engineering Mathematics 1 - mathematical skills, concepts and understandings required to perform calculations and solve problems within engineering contexts Technical Literacy - technical research skills, as well as oral, written, graphical interpersonal communication skills Electrical Principles - general fundamental electrical circuit principles Electrical and Electronic</x:v>
      </x:c>
      <x:c r="S195" s="46"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15 Feb 2027 Apply now Course Unavailable in Your Location? Register your interest and we'll be in touch with available options. Important Dates View calendar of start dates and events Get a summary of this page Further Study Options Courses Currently Under Development at Toi Ohomai, or Offered at Other Institutions New Zealand Dip</x:v>
      </x:c>
      <x:c r="T195" s="46"/>
      <x:c r="U195" s="46" t="str">
        <x:v>No programme-specific scholarship confirmed in the international course list.</x:v>
      </x:c>
      <x:c r="V195" s="59" t="str">
        <x:v>https://www.toiohomai.ac.nz/study/course/new-zealand-diploma-engineering-electrical-level-6</x:v>
      </x:c>
      <x:c r="W195" s="59" t="str">
        <x:v>https://www.toiohomai.ac.nz/study/international-courses-list</x:v>
      </x:c>
      <x:c r="X195" s="46" t="str">
        <x:v>2026-07-29</x:v>
      </x:c>
      <x:c r="Y195" s="46" t="str">
        <x:v>Double-checked: live programme page + official international source</x:v>
      </x:c>
      <x:c r="Z195" s="46" t="str">
        <x:v>The international list says fees are indicative. Live pages state that 2027 fees are not yet confirmed.</x:v>
      </x:c>
      <x:c r="AA195" s="46"/>
      <x:c r="AB195" s="46" t="str">
        <x:v>Published by provider</x:v>
      </x:c>
      <x:c r="AC195" s="47" t="str">
        <x:v>Feb 2027</x:v>
      </x:c>
    </x:row>
    <x:row r="196" ht="48" customHeight="1">
      <x:c r="A196" s="51" t="str">
        <x:v>Toi Ohomai Institute of Technology</x:v>
      </x:c>
      <x:c r="B196" s="52" t="str">
        <x:v>Toi Ohomai</x:v>
      </x:c>
      <x:c r="C196" s="52" t="str">
        <x:v>Engineering</x:v>
      </x:c>
      <x:c r="D196" s="52" t="str">
        <x:v>New Zealand Diploma in Engineering (Mechanical) (Level 6)</x:v>
      </x:c>
      <x:c r="E196" s="52"/>
      <x:c r="F196" s="52" t="n">
        <x:v>6</x:v>
      </x:c>
      <x:c r="G196" s="52" t="str">
        <x:v>Diploma</x:v>
      </x:c>
      <x:c r="H196" s="52" t="str">
        <x:v>On campus / in-person (may include blended components)</x:v>
      </x:c>
      <x:c r="I196" s="52" t="str">
        <x:v>Yes — provider publishes international/on-campus availability</x:v>
      </x:c>
      <x:c r="J196" s="52" t="str">
        <x:v>Tauranga</x:v>
      </x:c>
      <x:c r="K196" s="52" t="str">
        <x:v>2 years full-time, including holidays (if applicable); part-time study available</x:v>
      </x:c>
      <x:c r="L196" s="52"/>
      <x:c r="M196" s="52" t="str">
        <x:v>Feb 2027</x:v>
      </x:c>
      <x:c r="N196" s="52" t="str">
        <x:v>$29,703 per year</x:v>
      </x:c>
      <x:c r="O196" s="52" t="str">
        <x:v>As stated in international course list</x:v>
      </x:c>
      <x:c r="P196" s="52" t="str">
        <x:v>2026</x:v>
      </x:c>
      <x:c r="Q196" s="52" t="str">
        <x:v>Not published; 2026 fee shown only</x:v>
      </x:c>
      <x:c r="R196" s="52" t="str">
        <x:v>To see the information for international students change your location using the button at the top right of the screen. Career Opportunities New Zealand is crying out for more engineering technicians and the pay rates are excellent. Graduates can work in a diverse range of industries such as aviation, biotechnology, automotive, air-conditioning and refrigeration, robotics, defence and energy, and the manufacturing of industrial and domestic products. Research and development is a logical destination for graduates, working as technical support engineers, supervising technicians, technical and production engineers, and production or production maintenance managers. Tasks include: Completing feasibility studies on existing systems Researching different energy, machinery and material options P</x:v>
      </x:c>
      <x:c r="S196" s="52" t="str">
        <x:v>IELTS Academic score of 6 with no band score lower than 5.5 or completed New Zealand Certificate in English Language Level 4 with the Academic Endorsement or meets a relevant English Proficiency Outcome as outlined by NZQA. Course Locations and Intake Information Location Campus Start Date Tauranga Windermere Campus 15 Feb 2027 Apply now Course Unavailable in Your Location? Register your interest and we'll be in touch with available options. Important Dates View calendar of start dates and events Get a summary of this page Further Study Options Courses Currently Under Development at Toi Ohomai, or Offered at Other Institutions New Zealand Dip</x:v>
      </x:c>
      <x:c r="T196" s="52"/>
      <x:c r="U196" s="52" t="str">
        <x:v>No programme-specific scholarship confirmed in the international course list.</x:v>
      </x:c>
      <x:c r="V196" s="58" t="str">
        <x:v>https://www.toiohomai.ac.nz/study/course/new-zealand-diploma-engineering-mechanical-level-6</x:v>
      </x:c>
      <x:c r="W196" s="58" t="str">
        <x:v>https://www.toiohomai.ac.nz/study/international-courses-list</x:v>
      </x:c>
      <x:c r="X196" s="52" t="str">
        <x:v>2026-07-29</x:v>
      </x:c>
      <x:c r="Y196" s="52" t="str">
        <x:v>Double-checked: live programme page + official international source</x:v>
      </x:c>
      <x:c r="Z196" s="52" t="str">
        <x:v>The international list says fees are indicative. Live pages state that 2027 fees are not yet confirmed.</x:v>
      </x:c>
      <x:c r="AA196" s="52"/>
      <x:c r="AB196" s="52" t="str">
        <x:v>Published by provider</x:v>
      </x:c>
      <x:c r="AC196" s="53" t="str">
        <x:v>Feb 2027</x:v>
      </x:c>
    </x:row>
    <x:row r="197" ht="48" customHeight="1">
      <x:c r="A197" s="45" t="str">
        <x:v>Toi Ohomai Institute of Technology</x:v>
      </x:c>
      <x:c r="B197" s="46" t="str">
        <x:v>Toi Ohomai</x:v>
      </x:c>
      <x:c r="C197" s="46" t="str">
        <x:v>English Language</x:v>
      </x:c>
      <x:c r="D197" s="46" t="str">
        <x:v>New Zealand Certificate in English Language (Academic) (Level 4)</x:v>
      </x:c>
      <x:c r="E197" s="46"/>
      <x:c r="F197" s="46" t="n">
        <x:v>4</x:v>
      </x:c>
      <x:c r="G197" s="46" t="str">
        <x:v>Certificate</x:v>
      </x:c>
      <x:c r="H197" s="46" t="str">
        <x:v>On campus / in-person (may include blended components)</x:v>
      </x:c>
      <x:c r="I197" s="46" t="str">
        <x:v>Yes — provider publishes international/on-campus availability</x:v>
      </x:c>
      <x:c r="J197" s="46" t="str">
        <x:v>Tauranga</x:v>
      </x:c>
      <x:c r="K197" s="46" t="str">
        <x:v>1 semester full-time, including holidays (if applicable)</x:v>
      </x:c>
      <x:c r="L197" s="46"/>
      <x:c r="M197" s="46" t="str">
        <x:v>Feb 2027</x:v>
      </x:c>
      <x:c r="N197" s="46" t="str">
        <x:v>$8,487</x:v>
      </x:c>
      <x:c r="O197" s="46" t="str">
        <x:v>As stated in international course list</x:v>
      </x:c>
      <x:c r="P197" s="46" t="str">
        <x:v>2026</x:v>
      </x:c>
      <x:c r="Q197" s="46" t="str">
        <x:v>Not published; 2026 fee shown only</x:v>
      </x:c>
      <x:c r="R197" s="46" t="str">
        <x:v>To see the information for international students change your location using the button at the top right of the screen. Timetable On campus: Tuesday and Thursday *Please note: timetable is subject to change. Career Opportunities This course is intended for students of English as an additional language, who wish to enrol in an NZQA-approved course in Aotearoa New Zealand, rather than a direct pathway to employment. Graduates of this course will have the English language skills to work in employment that involves: Interpersonal communication Understanding of context-specific texts of a more academic nature Writing records and reports Interaction in a team Topic Overview The course will focus on: Reading Writing Speaking Listening Critical thinking Problem solving Course Fees Indicative Fees </x:v>
      </x:c>
      <x:c r="S197" s="46" t="str">
        <x:v>to enrol in our diploma and degree courses at levels 6 and 7. This course is at a level comparable to the Common European Framework of Reference (CEFR) mid B2. We offer intermediate to upper intermediate English courses. We'll assess your English when you enrol to decide the best level for you to study at. Upon successfully completing the requirements you'll receive the award of: New Zealand Certificate in English Language (Academic) (Level 4) Locations Tauranga Next intake Jul 2026 View more details Study options 1 semester full-time, including holidays (if applicable) Total credits 60 StudyLink assistance Available Indicative Fees $755 for </x:v>
      </x:c>
      <x:c r="T197" s="46"/>
      <x:c r="U197" s="46" t="str">
        <x:v>No programme-specific scholarship confirmed in the international course list.</x:v>
      </x:c>
      <x:c r="V197" s="59" t="str">
        <x:v>https://www.toiohomai.ac.nz/study/course/new-zealand-certificate-english-language-academic-level-4</x:v>
      </x:c>
      <x:c r="W197" s="59" t="str">
        <x:v>https://www.toiohomai.ac.nz/study/international-courses-list</x:v>
      </x:c>
      <x:c r="X197" s="46" t="str">
        <x:v>2026-07-29</x:v>
      </x:c>
      <x:c r="Y197" s="46" t="str">
        <x:v>Double-checked: live programme page + official international source</x:v>
      </x:c>
      <x:c r="Z197" s="46" t="str">
        <x:v>The international list says fees are indicative. Live pages state that 2027 fees are not yet confirmed.</x:v>
      </x:c>
      <x:c r="AA197" s="46"/>
      <x:c r="AB197" s="46" t="str">
        <x:v>Published by provider</x:v>
      </x:c>
      <x:c r="AC197" s="47" t="str">
        <x:v>Feb 2027</x:v>
      </x:c>
    </x:row>
    <x:row r="198" ht="48" customHeight="1">
      <x:c r="A198" s="51" t="str">
        <x:v>Toi Ohomai Institute of Technology</x:v>
      </x:c>
      <x:c r="B198" s="52" t="str">
        <x:v>Toi Ohomai</x:v>
      </x:c>
      <x:c r="C198" s="52" t="str">
        <x:v>English Language</x:v>
      </x:c>
      <x:c r="D198" s="52" t="str">
        <x:v>New Zealand Certificate in English Language (General) (Level 4)</x:v>
      </x:c>
      <x:c r="E198" s="52"/>
      <x:c r="F198" s="52" t="n">
        <x:v>4</x:v>
      </x:c>
      <x:c r="G198" s="52" t="str">
        <x:v>Certificate</x:v>
      </x:c>
      <x:c r="H198" s="52" t="str">
        <x:v>On campus / in-person (may include blended components)</x:v>
      </x:c>
      <x:c r="I198" s="52" t="str">
        <x:v>Yes — provider publishes international/on-campus availability</x:v>
      </x:c>
      <x:c r="J198" s="52" t="str">
        <x:v>Tauranga</x:v>
      </x:c>
      <x:c r="K198" s="52" t="str">
        <x:v>1 semester full-time, including holidays (if applicable)</x:v>
      </x:c>
      <x:c r="L198" s="52"/>
      <x:c r="M198" s="52" t="str">
        <x:v>Feb 2027</x:v>
      </x:c>
      <x:c r="N198" s="52" t="str">
        <x:v>$8,487</x:v>
      </x:c>
      <x:c r="O198" s="52" t="str">
        <x:v>As stated in international course list</x:v>
      </x:c>
      <x:c r="P198" s="52" t="str">
        <x:v>2026</x:v>
      </x:c>
      <x:c r="Q198" s="52" t="str">
        <x:v>Not published; 2026 fee shown only</x:v>
      </x:c>
      <x:c r="R198" s="52" t="str">
        <x:v>To see the information for international students change your location using the button at the top right of the screen. Timetable On campus: Tuesday - Thursday *Please note: timetable is subject to change. Career Opportunities This course is intended for students of English as an additional language, who wish to improve their English, or who are attending NZQA-approved courses in Aotearoa New Zealand, rather than a direct pathway to employment. Graduates of this course will have the English language skills to work in employment that involves: interpersonal communication, understanding of context-specific texts of a more general nature, writing transactional exchanges, records, reports and letters, and interaction in a team. Topic Overview The course will focus on: reading writing speaking </x:v>
      </x:c>
      <x:c r="S198" s="52" t="str">
        <x:v>Your English will be assessed on entry. Guideline for entry: General (Level 4) entry: CEFR low B2 or IELTS 5.5 Course Locations and Intake Information Face to face option: This will include 4 days a week on campus (Tuesday - Friday) Fully online option: 2 hours a day of class on Zoom (Tuesday - Friday) and online content that is accessible via Moodle Location Campus Start Date Tauranga Windermere Campus 27 Jul 2026 Apply now Tauranga Windermere Campus 22 Feb 2027 Apply now Course Unavailable in Your Location? Register your interest and we'll be in touch with available options. Important Dates View calendar of start dates and events Get a summ</x:v>
      </x:c>
      <x:c r="T198" s="52"/>
      <x:c r="U198" s="52" t="str">
        <x:v>No programme-specific scholarship confirmed in the international course list.</x:v>
      </x:c>
      <x:c r="V198" s="58" t="str">
        <x:v>https://www.toiohomai.ac.nz/study/course/new-zealand-certificate-english-language-general-level-4</x:v>
      </x:c>
      <x:c r="W198" s="58" t="str">
        <x:v>https://www.toiohomai.ac.nz/study/international-courses-list</x:v>
      </x:c>
      <x:c r="X198" s="52" t="str">
        <x:v>2026-07-29</x:v>
      </x:c>
      <x:c r="Y198" s="52" t="str">
        <x:v>Double-checked: live programme page + official international source</x:v>
      </x:c>
      <x:c r="Z198" s="52" t="str">
        <x:v>The international list says fees are indicative. Live pages state that 2027 fees are not yet confirmed.</x:v>
      </x:c>
      <x:c r="AA198" s="52"/>
      <x:c r="AB198" s="52" t="str">
        <x:v>Published by provider</x:v>
      </x:c>
      <x:c r="AC198" s="53" t="str">
        <x:v>Feb 2027</x:v>
      </x:c>
    </x:row>
    <x:row r="199" ht="48" customHeight="1">
      <x:c r="A199" s="45" t="str">
        <x:v>Toi Ohomai Institute of Technology</x:v>
      </x:c>
      <x:c r="B199" s="46" t="str">
        <x:v>Toi Ohomai</x:v>
      </x:c>
      <x:c r="C199" s="46" t="str">
        <x:v>Health &amp; Nursing</x:v>
      </x:c>
      <x:c r="D199" s="46" t="str">
        <x:v>Bachelor of Nursing</x:v>
      </x:c>
      <x:c r="E199" s="46"/>
      <x:c r="F199" s="46" t="n">
        <x:v>7</x:v>
      </x:c>
      <x:c r="G199" s="46" t="str">
        <x:v>Bachelor's Degree</x:v>
      </x:c>
      <x:c r="H199" s="46" t="str">
        <x:v>On campus / in-person (may include blended components)</x:v>
      </x:c>
      <x:c r="I199" s="46" t="str">
        <x:v>Yes — provider publishes international/on-campus availability</x:v>
      </x:c>
      <x:c r="J199" s="46" t="str">
        <x:v>Rotorua; Tauranga</x:v>
      </x:c>
      <x:c r="K199" s="46" t="str">
        <x:v>3 years full-time, including holidays (if applicable)</x:v>
      </x:c>
      <x:c r="L199" s="46"/>
      <x:c r="M199" s="46" t="str">
        <x:v>Jan 2027</x:v>
      </x:c>
      <x:c r="N199" s="46" t="str">
        <x:v>$29,703 per year</x:v>
      </x:c>
      <x:c r="O199" s="46" t="str">
        <x:v>As stated in international course list</x:v>
      </x:c>
      <x:c r="P199" s="46" t="str">
        <x:v>2026</x:v>
      </x:c>
      <x:c r="Q199" s="46" t="str">
        <x:v>Not published; 2026 fee shown only</x:v>
      </x:c>
      <x:c r="R199" s="46" t="str">
        <x:v>To see the information for international students change your location using the button at the top right of the screen. Timetable Monday-Friday (approximately 35 hours a week including placements) *Please note: timetable is subject to change. Career Opportunities This course is specifically aimed to prepare graduates for registration as a registered nurse at a beginning level. Employment and career opportunities exist within a range of health care settings and may include: Hauora Māori Nursing Plunket Nursing Practice Nursing Public Health Nursing Rural Health Nursing School Health Nurse Medical/Surgical Nursing Criminal Justice Nursing Addictions Nursing Operating Theatre Nursing Nurse Researcher Nurse Manager Aged Care Nursing Paediatric Nursing Mental Health Nursing Rehabilitation Nursi</x:v>
      </x:c>
      <x:c r="S199" s="46" t="str">
        <x:v>IELTS test - Academic score of 6.5 that includes a score of at least 6.5 in each of Reading, Listening, Writing and Speaking, OR OET – Minimum of 300 in all sub-tests Note: IELTS scores used must be taken from a single IELTS test report form and are valid for two years from the date of the test. If you are a New Zealand Citizen or Permanent Resident and English is your second language, you'll complete an Admission and Enrolment form and Toi Ohomai will contact you regarding a possible internal assessment. Course Locations and Intake Information Location Campus Start Date Rotorua Mokoia Campus 25 Jan 2027 Apply now Tauranga Windermere Campus 2</x:v>
      </x:c>
      <x:c r="T199" s="46"/>
      <x:c r="U199" s="46" t="str">
        <x:v>No programme-specific scholarship confirmed in the international course list.</x:v>
      </x:c>
      <x:c r="V199" s="59" t="str">
        <x:v>https://www.toiohomai.ac.nz/study/course/bachelor-nursing</x:v>
      </x:c>
      <x:c r="W199" s="59" t="str">
        <x:v>https://www.toiohomai.ac.nz/study/international-courses-list</x:v>
      </x:c>
      <x:c r="X199" s="46" t="str">
        <x:v>2026-07-29</x:v>
      </x:c>
      <x:c r="Y199" s="46" t="str">
        <x:v>Double-checked: live programme page + official international source</x:v>
      </x:c>
      <x:c r="Z199" s="46" t="str">
        <x:v>The international list says fees are indicative. Live pages state that 2027 fees are not yet confirmed.</x:v>
      </x:c>
      <x:c r="AA199" s="46"/>
      <x:c r="AB199" s="46" t="str">
        <x:v>Published by provider</x:v>
      </x:c>
      <x:c r="AC199" s="47" t="str">
        <x:v>Jan 2027</x:v>
      </x:c>
    </x:row>
    <x:row r="200" ht="48" customHeight="1">
      <x:c r="A200" s="51" t="str">
        <x:v>Toi Ohomai Institute of Technology</x:v>
      </x:c>
      <x:c r="B200" s="52" t="str">
        <x:v>Toi Ohomai</x:v>
      </x:c>
      <x:c r="C200" s="52" t="str">
        <x:v>Health &amp; Nursing</x:v>
      </x:c>
      <x:c r="D200" s="52" t="str">
        <x:v>New Zealand Diploma in Wellness and Relaxation Massage (Level 5)</x:v>
      </x:c>
      <x:c r="E200" s="52"/>
      <x:c r="F200" s="52" t="n">
        <x:v>5</x:v>
      </x:c>
      <x:c r="G200" s="52" t="str">
        <x:v>Diploma</x:v>
      </x:c>
      <x:c r="H200" s="52" t="str">
        <x:v>On campus / in-person (may include blended components)</x:v>
      </x:c>
      <x:c r="I200" s="52" t="str">
        <x:v>Yes — provider publishes international/on-campus availability</x:v>
      </x:c>
      <x:c r="J200" s="52" t="str">
        <x:v>Rotorua; Tauranga</x:v>
      </x:c>
      <x:c r="K200" s="52" t="str">
        <x:v>1 year full-time, including holidays (if applicable)</x:v>
      </x:c>
      <x:c r="L200" s="52"/>
      <x:c r="M200" s="52" t="str">
        <x:v>Feb 2027</x:v>
      </x:c>
      <x:c r="N200" s="52" t="str">
        <x:v>$26,520</x:v>
      </x:c>
      <x:c r="O200" s="52" t="str">
        <x:v>As stated in international course list</x:v>
      </x:c>
      <x:c r="P200" s="52" t="str">
        <x:v>2026</x:v>
      </x:c>
      <x:c r="Q200" s="52" t="str">
        <x:v>Not published; 2026 fee shown only</x:v>
      </x:c>
      <x:c r="R200" s="52" t="str">
        <x:v>To see the information for international students change your location using the button at the top right of the screen. Timetable Tuesday - Thursday (plus some clinics on Friday) *Please note: timetable is subject to change. Career Opportunities Home-based massage therapist Community based massage therapist Employment within health care facilities or spa-based massage therapy clinics Employment within sport and fitness facilities (non-injury work) or with sport teams or individual athletes. You may choose to become self-employed with your own massage therapy business, or you may find employment in the sports industry, working in spas and hotels, on cruise ships, or alongside other medical professionals like physiotherapists. Topic Overview Massage Theory to Practice Wellness Dimensions and</x:v>
      </x:c>
      <x:c r="S200" s="52" t="str">
        <x:v>Level 5 certificate or diploma IELTS Academic score of 5.5 with no band score lower than 5 or completed NZ Certificate in English Language Level 4 with the Academic Endorsement or meets a relevant English Proficiency Outcome as outlined by NZQA. Course Locations and Intake Information Location Campus Start Date Rotorua Mokoia Campus 15 Feb 2027 Apply now Tauranga Windermere Campus 1 Mar 2027 Apply now Course Unavailable in Your Location? Register your interest and we'll be in touch with available options. Important Dates View calendar of start dates and events Get a summary of this page Related Subjects Massage TherapyThe health and wellness </x:v>
      </x:c>
      <x:c r="T200" s="52"/>
      <x:c r="U200" s="52" t="str">
        <x:v>No programme-specific scholarship confirmed in the international course list.</x:v>
      </x:c>
      <x:c r="V200" s="58" t="str">
        <x:v>https://www.toiohomai.ac.nz/study/course/new-zealand-diploma-wellness-and-relaxation-massage-level-5</x:v>
      </x:c>
      <x:c r="W200" s="58" t="str">
        <x:v>https://www.toiohomai.ac.nz/study/international-courses-list</x:v>
      </x:c>
      <x:c r="X200" s="52" t="str">
        <x:v>2026-07-29</x:v>
      </x:c>
      <x:c r="Y200" s="52" t="str">
        <x:v>Double-checked: live programme page + official international source</x:v>
      </x:c>
      <x:c r="Z200" s="52" t="str">
        <x:v>The international list says fees are indicative. Live pages state that 2027 fees are not yet confirmed.</x:v>
      </x:c>
      <x:c r="AA200" s="52"/>
      <x:c r="AB200" s="52" t="str">
        <x:v>Published by provider</x:v>
      </x:c>
      <x:c r="AC200" s="53" t="str">
        <x:v>Feb 2027</x:v>
      </x:c>
    </x:row>
    <x:row r="201" ht="48" customHeight="1">
      <x:c r="A201" s="45" t="str">
        <x:v>Toi Ohomai Institute of Technology</x:v>
      </x:c>
      <x:c r="B201" s="46" t="str">
        <x:v>Toi Ohomai</x:v>
      </x:c>
      <x:c r="C201" s="46" t="str">
        <x:v>Health &amp; Nursing</x:v>
      </x:c>
      <x:c r="D201" s="46" t="str">
        <x:v>New Zealand Certificate in Health and Wellbeing (Advanced Care and Support) (Level 4)</x:v>
      </x:c>
      <x:c r="E201" s="46"/>
      <x:c r="F201" s="46" t="n">
        <x:v>4</x:v>
      </x:c>
      <x:c r="G201" s="46" t="str">
        <x:v>Certificate</x:v>
      </x:c>
      <x:c r="H201" s="46" t="str">
        <x:v>On campus / in-person (may include blended components)</x:v>
      </x:c>
      <x:c r="I201" s="46" t="str">
        <x:v>Yes — provider publishes international/on-campus availability</x:v>
      </x:c>
      <x:c r="J201" s="46" t="str">
        <x:v>Rotorua; Tauranga</x:v>
      </x:c>
      <x:c r="K201" s="46" t="str">
        <x:v>36 weeks full-time, including holidays (if applicable)</x:v>
      </x:c>
      <x:c r="L201" s="46"/>
      <x:c r="M201" s="46" t="str">
        <x:v>Feb 2027</x:v>
      </x:c>
      <x:c r="N201" s="46" t="str">
        <x:v>$26,520</x:v>
      </x:c>
      <x:c r="O201" s="46" t="str">
        <x:v>As stated in international course list</x:v>
      </x:c>
      <x:c r="P201" s="46" t="str">
        <x:v>2026</x:v>
      </x:c>
      <x:c r="Q201" s="46" t="str">
        <x:v>Not published; 2026 fee shown only</x:v>
      </x:c>
      <x:c r="R201" s="46" t="str">
        <x:v>To see the information for international students change your location using the button at the top right of the screen. Timetable Monday or Wednesday *Please note: timetable is subject to change. Career Opportunities Working in hospices, specialised dementia units, aged residential care or home and community support settings, as a: Health Care Assistant Senior Caregiver Senior Health Care Assistant Senior Support Worker Topic Overview Working in a health care team Different models of care How to support patients with complex needs Workplace practices and values Professional approaches to care and communication Providing end of life care and support Course Fees Indicative Fees * $1,696 for domestic students *Please note, fees for our 2027 intakes are yet to be confirmed. Once they are, we w</x:v>
      </x:c>
      <x:c r="S201" s="46" t="str">
        <x:v>Level 4 certificate IELTS General or Academic score of 5.5 with no band score lower than 5 or completed New Zealand Certificate in English Language Level 3 with an endorsement of either General, Workplace or Academic, or meets a relevant English Proficiency Outcome as outlined by NZQA. Course Locations and Intake Information Study face-to-face on campus at set times plus online learning. Location Campus Start Date Rotorua Mokoia Campus 20 Jul 2026 Apply now Tauranga Windermere Campus 20 Jul 2026 Apply now Rotorua Mokoia Campus 22 Feb 2027 Apply now Tauranga Windermere Campus 22 Feb 2027 Apply now Course Unavailable in Your Location? Register </x:v>
      </x:c>
      <x:c r="T201" s="46"/>
      <x:c r="U201" s="46" t="str">
        <x:v>No programme-specific scholarship confirmed in the international course list.</x:v>
      </x:c>
      <x:c r="V201" s="59" t="str">
        <x:v>https://www.toiohomai.ac.nz/study/course/new-zealand-certificate-health-and-wellbeing-advanced-care-and-support-level-4</x:v>
      </x:c>
      <x:c r="W201" s="59" t="str">
        <x:v>https://www.toiohomai.ac.nz/study/international-courses-list</x:v>
      </x:c>
      <x:c r="X201" s="46" t="str">
        <x:v>2026-07-29</x:v>
      </x:c>
      <x:c r="Y201" s="46" t="str">
        <x:v>Double-checked: live programme page + official international source</x:v>
      </x:c>
      <x:c r="Z201" s="46" t="str">
        <x:v>The international list says fees are indicative. Live pages state that 2027 fees are not yet confirmed.</x:v>
      </x:c>
      <x:c r="AA201" s="46"/>
      <x:c r="AB201" s="46" t="str">
        <x:v>Published by provider</x:v>
      </x:c>
      <x:c r="AC201" s="47" t="str">
        <x:v>Feb 2027</x:v>
      </x:c>
    </x:row>
    <x:row r="202" ht="48" customHeight="1">
      <x:c r="A202" s="51" t="str">
        <x:v>Toi Ohomai Institute of Technology</x:v>
      </x:c>
      <x:c r="B202" s="52" t="str">
        <x:v>Toi Ohomai</x:v>
      </x:c>
      <x:c r="C202" s="52" t="str">
        <x:v>Hospitality &amp; Tourism</x:v>
      </x:c>
      <x:c r="D202" s="52" t="str">
        <x:v>New Zealand Diploma in Baking (Level 5)</x:v>
      </x:c>
      <x:c r="E202" s="52"/>
      <x:c r="F202" s="52" t="n">
        <x:v>5</x:v>
      </x:c>
      <x:c r="G202" s="52" t="str">
        <x:v>Diploma</x:v>
      </x:c>
      <x:c r="H202" s="52" t="str">
        <x:v>On campus / in-person (may include blended components)</x:v>
      </x:c>
      <x:c r="I202" s="52" t="str">
        <x:v>Yes — provider publishes international/on-campus availability</x:v>
      </x:c>
      <x:c r="J202" s="52" t="str">
        <x:v>Tauranga</x:v>
      </x:c>
      <x:c r="K202" s="52" t="str">
        <x:v>1 year full-time, including holidays (if applicable)</x:v>
      </x:c>
      <x:c r="L202" s="52"/>
      <x:c r="M202" s="52" t="str">
        <x:v>Feb 2027</x:v>
      </x:c>
      <x:c r="N202" s="52" t="str">
        <x:v>$26,520</x:v>
      </x:c>
      <x:c r="O202" s="52" t="str">
        <x:v>As stated in international course list</x:v>
      </x:c>
      <x:c r="P202" s="52" t="str">
        <x:v>2026</x:v>
      </x:c>
      <x:c r="Q202" s="52" t="str">
        <x:v>Not published; 2026 fee shown only</x:v>
      </x:c>
      <x:c r="R202" s="52" t="str">
        <x:v>To see the information for international students change your location using the button at the top right of the screen. Career Opportunities Technical or Managerial Roles in the Baking Industry Topic Overview Innovation and Product Development Specialist and Craftsmanship Global Baking Baking Business Development and Management Course Fees Indicative Fees * $8,468 for domestic students Course related costs Domestic students: During your induction week, you'll have the opportunity to purchase your uniform and kit from our preferred supplier. You can expect to spend approximately $700 - $800 on course-specific equipment and uniforms. This can be covered by the 'Course-Related Costs' component of your student loan if applicable. Please contact StudyLink for more information. If you have alrea</x:v>
      </x:c>
      <x:c r="S202" s="52" t="str">
        <x:v>Level 5 certificate or diploma IELTS Academic score of 5.5 with no band score lower than 5 or completed NZ Certificate in English Language Level 4 with the Academic Endorsement or meets a relevant English Proficiency Outcome as outlined by NZQA. Course Locations and Intake Information Location Campus Start Date Tauranga Windermere Campus 22 Feb 2027 Apply now Course Unavailable in Your Location? Register your interest and we'll be in touch with available options. Important Dates View calendar of start dates and events Get a summary of this page Further Study Options Courses Offered at Toi Ohomai New Zealand Certificate in Cookery (Level 4) Ne</x:v>
      </x:c>
      <x:c r="T202" s="52"/>
      <x:c r="U202" s="52" t="str">
        <x:v>No programme-specific scholarship confirmed in the international course list.</x:v>
      </x:c>
      <x:c r="V202" s="58" t="str">
        <x:v>https://www.toiohomai.ac.nz/study/course/new-zealand-diploma-baking-level-5</x:v>
      </x:c>
      <x:c r="W202" s="58" t="str">
        <x:v>https://www.toiohomai.ac.nz/study/international-courses-list</x:v>
      </x:c>
      <x:c r="X202" s="52" t="str">
        <x:v>2026-07-29</x:v>
      </x:c>
      <x:c r="Y202" s="52" t="str">
        <x:v>Double-checked: live programme page + official international source</x:v>
      </x:c>
      <x:c r="Z202" s="52" t="str">
        <x:v>The international list says fees are indicative. Live pages state that 2027 fees are not yet confirmed.</x:v>
      </x:c>
      <x:c r="AA202" s="52"/>
      <x:c r="AB202" s="52" t="str">
        <x:v>Published by provider</x:v>
      </x:c>
      <x:c r="AC202" s="53" t="str">
        <x:v>Feb 2027</x:v>
      </x:c>
    </x:row>
    <x:row r="203" ht="48" customHeight="1">
      <x:c r="A203" s="45" t="str">
        <x:v>Toi Ohomai Institute of Technology</x:v>
      </x:c>
      <x:c r="B203" s="46" t="str">
        <x:v>Toi Ohomai</x:v>
      </x:c>
      <x:c r="C203" s="46" t="str">
        <x:v>Hospitality &amp; Tourism</x:v>
      </x:c>
      <x:c r="D203" s="46" t="str">
        <x:v>New Zealand Diploma in Culinary Practice (Level 5)</x:v>
      </x:c>
      <x:c r="E203" s="46"/>
      <x:c r="F203" s="46" t="n">
        <x:v>5</x:v>
      </x:c>
      <x:c r="G203" s="46" t="str">
        <x:v>Diploma</x:v>
      </x:c>
      <x:c r="H203" s="46" t="str">
        <x:v>On campus / in-person (may include blended components)</x:v>
      </x:c>
      <x:c r="I203" s="46" t="str">
        <x:v>Yes — provider publishes international/on-campus availability</x:v>
      </x:c>
      <x:c r="J203" s="46" t="str">
        <x:v>Rotorua; Tauranga; Wider BOP/Other</x:v>
      </x:c>
      <x:c r="K203" s="46" t="str">
        <x:v>1 year full-time, including holidays (if applicable); part-time study available</x:v>
      </x:c>
      <x:c r="L203" s="46"/>
      <x:c r="M203" s="46" t="str">
        <x:v>Feb 2027</x:v>
      </x:c>
      <x:c r="N203" s="46" t="str">
        <x:v>To be confirmed</x:v>
      </x:c>
      <x:c r="O203" s="46" t="str">
        <x:v>As stated in international course list</x:v>
      </x:c>
      <x:c r="P203" s="46" t="str">
        <x:v>2026</x:v>
      </x:c>
      <x:c r="Q203" s="46" t="str">
        <x:v>Not published; 2026 fee shown only</x:v>
      </x:c>
      <x:c r="R203" s="46" t="str">
        <x:v>To see the information for international students change your location using the button at the top right of the screen. Timetable This is completed during in-work hours. *Please note: timetable is subject to change. Career Opportunities Senior‐level opportunities as chefs Topic Overview Advanced Culinary Preparation and Service Techniques Introduction to Culinary Design Processes Introduction to Kitchen Management and Leadership Introduction to Biculturalism in the Culinary Workplace Culinary Communication Legislative Compliance Managing Food Safety Food Allergies Menu Planning and Costing Health and Safety Larder Dishes Nose to Tail Butchery Stock Management Food Sustainability Selection of Suppliers Budgeting Staff Rostering Course Fees Indicative Fees * $8,470 for domestic students Cour</x:v>
      </x:c>
      <x:c r="S203" s="46" t="str">
        <x:v>Level 5 certificate or diploma IELTS Academic score of 5.5 with no band score lower than 5 or completed NZ Certificate in English Language Level 4 with the Academic Endorsement or meets a relevant English Proficiency Outcome as outlined by NZQA. Course Locations and Intake Information If you’re employed in a culinary job, you can study towards the New Zealand Diploma in Cookery qualification while you work. To apply for this option choose ‘Apply’ then ‘Apply for work and study‘ or for more information email [email protected]. Location Campus Start Date Wider BOP/Other --- 20 Jul 2026 Apply forWork and Study Rotorua Mokoia Campus 22 Feb 2027 A</x:v>
      </x:c>
      <x:c r="T203" s="46"/>
      <x:c r="U203" s="46" t="str">
        <x:v>No programme-specific scholarship confirmed in the international course list.</x:v>
      </x:c>
      <x:c r="V203" s="59" t="str">
        <x:v>https://www.toiohomai.ac.nz/study/course/new-zealand-diploma-culinary-practice-level-5</x:v>
      </x:c>
      <x:c r="W203" s="59" t="str">
        <x:v>https://www.toiohomai.ac.nz/study/international-courses-list</x:v>
      </x:c>
      <x:c r="X203" s="46" t="str">
        <x:v>2026-07-29</x:v>
      </x:c>
      <x:c r="Y203" s="46" t="str">
        <x:v>Double-checked: live programme page + official international source</x:v>
      </x:c>
      <x:c r="Z203" s="46" t="str">
        <x:v>The international list says fees are indicative. Live pages state that 2027 fees are not yet confirmed.</x:v>
      </x:c>
      <x:c r="AA203" s="46"/>
      <x:c r="AB203" s="46" t="str">
        <x:v>Published by provider</x:v>
      </x:c>
      <x:c r="AC203" s="47" t="str">
        <x:v>Feb 2027</x:v>
      </x:c>
    </x:row>
    <x:row r="204" ht="48" customHeight="1">
      <x:c r="A204" s="51" t="str">
        <x:v>Toi Ohomai Institute of Technology</x:v>
      </x:c>
      <x:c r="B204" s="52" t="str">
        <x:v>Toi Ohomai</x:v>
      </x:c>
      <x:c r="C204" s="52" t="str">
        <x:v>Hospitality &amp; Tourism</x:v>
      </x:c>
      <x:c r="D204" s="52" t="str">
        <x:v>New Zealand Diploma in Tourism and Travel (Level 5)</x:v>
      </x:c>
      <x:c r="E204" s="52"/>
      <x:c r="F204" s="52" t="n">
        <x:v>5</x:v>
      </x:c>
      <x:c r="G204" s="52" t="str">
        <x:v>Diploma</x:v>
      </x:c>
      <x:c r="H204" s="52" t="str">
        <x:v>On campus / in-person (may include blended components)</x:v>
      </x:c>
      <x:c r="I204" s="52" t="str">
        <x:v>Yes — provider publishes international/on-campus availability</x:v>
      </x:c>
      <x:c r="J204" s="52" t="str">
        <x:v>Tauranga</x:v>
      </x:c>
      <x:c r="K204" s="52" t="str">
        <x:v>1 year full-time, including holidays (if applicable); part-time study available</x:v>
      </x:c>
      <x:c r="L204" s="52"/>
      <x:c r="M204" s="52" t="str">
        <x:v>Feb 2027</x:v>
      </x:c>
      <x:c r="N204" s="52" t="str">
        <x:v>$26,520</x:v>
      </x:c>
      <x:c r="O204" s="52" t="str">
        <x:v>As stated in international course list</x:v>
      </x:c>
      <x:c r="P204" s="52" t="str">
        <x:v>2026</x:v>
      </x:c>
      <x:c r="Q204" s="52" t="str">
        <x:v>Not published; 2026 fee shown only</x:v>
      </x:c>
      <x:c r="R204" s="52" t="str">
        <x:v>To see the information for international students change your location using the button at the top right of the screen. Timetable Monday, 9am-1pmTuesday, 9am-1pmWednesday, 9am-1pmThursday, 9am-1pm Part-time learners can select 1-3 days per week. *Please note: timetable is subject to change. Career Opportunities Graduates of this course can apply for roles with employers including: Trainee and junior management or supervisor positions in a range of travel and tourism sectors: Travel providers Activity and attraction operators Accommodation Conferences/events Topic Overview Compulsory topics in this course: Professionalism and Core Skills for Tourism and Hospitality Introduction to the Tourism and Hospitality Industry Supervisory Skills for Tourism and Hospitality Showcasing Tourism, Travel,</x:v>
      </x:c>
      <x:c r="S204" s="52" t="str">
        <x:v>IELTS academic score of 6.0 with no band score lower than 5.5 Course Locations and Intake Information Location Campus Start Date Tauranga Windermere Campus 20 Jul 2026 Apply now Tauranga Windermere Campus 22 Feb 2027 Apply now Course Unavailable in Your Location? Register your interest and we'll be in touch with available options. Important Dates View calendar of start dates and events Get a summary of this page Further Study Options Courses Offered at Toi Ohomai Bachelor of Applied Hospitality and Tourism Management Related Subjects Tourism and TravelThe tourism industry offers an exciting and ever-… Page last updated on 28-07-26 Connect Car</x:v>
      </x:c>
      <x:c r="T204" s="52"/>
      <x:c r="U204" s="52" t="str">
        <x:v>No programme-specific scholarship confirmed in the international course list.</x:v>
      </x:c>
      <x:c r="V204" s="58" t="str">
        <x:v>https://www.toiohomai.ac.nz/study/course/new-zealand-diploma-tourism-and-travel-level-5</x:v>
      </x:c>
      <x:c r="W204" s="58" t="str">
        <x:v>https://www.toiohomai.ac.nz/study/international-courses-list</x:v>
      </x:c>
      <x:c r="X204" s="52" t="str">
        <x:v>2026-07-29</x:v>
      </x:c>
      <x:c r="Y204" s="52" t="str">
        <x:v>Double-checked: live programme page + official international source</x:v>
      </x:c>
      <x:c r="Z204" s="52" t="str">
        <x:v>The international list says fees are indicative. Live pages state that 2027 fees are not yet confirmed.</x:v>
      </x:c>
      <x:c r="AA204" s="52"/>
      <x:c r="AB204" s="52" t="str">
        <x:v>Published by provider</x:v>
      </x:c>
      <x:c r="AC204" s="53" t="str">
        <x:v>Feb 2027</x:v>
      </x:c>
    </x:row>
    <x:row r="205" ht="48" customHeight="1">
      <x:c r="A205" s="45" t="str">
        <x:v>Toi Ohomai Institute of Technology</x:v>
      </x:c>
      <x:c r="B205" s="46" t="str">
        <x:v>Toi Ohomai</x:v>
      </x:c>
      <x:c r="C205" s="46" t="str">
        <x:v>Hospitality &amp; Tourism</x:v>
      </x:c>
      <x:c r="D205" s="46" t="str">
        <x:v>New Zealand Certificate in Baking (Generalist) (Level 4)</x:v>
      </x:c>
      <x:c r="E205" s="46"/>
      <x:c r="F205" s="46" t="n">
        <x:v>4</x:v>
      </x:c>
      <x:c r="G205" s="46" t="str">
        <x:v>Certificate</x:v>
      </x:c>
      <x:c r="H205" s="46" t="str">
        <x:v>On campus / in-person (may include blended components)</x:v>
      </x:c>
      <x:c r="I205" s="46" t="str">
        <x:v>Yes — provider publishes international/on-campus availability</x:v>
      </x:c>
      <x:c r="J205" s="46" t="str">
        <x:v>Rotorua; Tauranga</x:v>
      </x:c>
      <x:c r="K205" s="46" t="str">
        <x:v>1 year full-time, including holidays (if applicable)</x:v>
      </x:c>
      <x:c r="L205" s="46"/>
      <x:c r="M205" s="46" t="str">
        <x:v>Feb 2027</x:v>
      </x:c>
      <x:c r="N205" s="46" t="str">
        <x:v>$26,520</x:v>
      </x:c>
      <x:c r="O205" s="46" t="str">
        <x:v>As stated in international course list</x:v>
      </x:c>
      <x:c r="P205" s="46" t="str">
        <x:v>2026</x:v>
      </x:c>
      <x:c r="Q205" s="46" t="str">
        <x:v>Not published; 2026 fee shown only</x:v>
      </x:c>
      <x:c r="R205" s="46" t="str">
        <x:v>To see the information for international students change your location using the button at the top right of the screen. Career Opportunities Introductory roles in craft bakeries, cake shops, cafe or factory operations. Topic Overview Principles of Baking Bakery Cafe Skills Craft Baking skills Proficiency in Baking Course Fees Indicative Fees * $8,468 for domestic students Course related costs Recommended: Professional Baking Gisslen, W (8th Edition). Approx. NZD $280.00. Required: Suitable kitchen safety footwear is required and must be purchased if not already owned. Kits and Uniforms: A baking uniform and kit is required and provided as part of the course. Please note, these items are an additional cost to standard tuition fees – approx. NZD $700.00. *Please note, fees for our 2027 intak</x:v>
      </x:c>
      <x:c r="S205" s="46" t="str">
        <x:v>Level 4 certificate IELTS General or Academic score of 5.5 with no band score lower than 5 or completed New Zealand Certificate in English Language Level 3 with an endorsement of either General, Workplace or Academic, or meets a relevant English Proficiency Outcome as outlined by NZQA. Course Locations and Intake Information Location Campus Start Date Rotorua Mokoia Campus 20 Jul 2026 Apply now Rotorua Mokoia Campus 22 Feb 2027 Apply now Tauranga Windermere Campus 22 Feb 2027 Apply now Course Unavailable in Your Location? Register your interest and we'll be in touch with available options. Important Dates View calendar of start dates and even</x:v>
      </x:c>
      <x:c r="T205" s="46"/>
      <x:c r="U205" s="46" t="str">
        <x:v>No programme-specific scholarship confirmed in the international course list.</x:v>
      </x:c>
      <x:c r="V205" s="59" t="str">
        <x:v>https://www.toiohomai.ac.nz/study/course/new-zealand-certificate-baking-generalist-level-4</x:v>
      </x:c>
      <x:c r="W205" s="59" t="str">
        <x:v>https://www.toiohomai.ac.nz/study/international-courses-list</x:v>
      </x:c>
      <x:c r="X205" s="46" t="str">
        <x:v>2026-07-29</x:v>
      </x:c>
      <x:c r="Y205" s="46" t="str">
        <x:v>Double-checked: live programme page + official international source</x:v>
      </x:c>
      <x:c r="Z205" s="46" t="str">
        <x:v>The international list says fees are indicative. Live pages state that 2027 fees are not yet confirmed.</x:v>
      </x:c>
      <x:c r="AA205" s="46"/>
      <x:c r="AB205" s="46" t="str">
        <x:v>Published by provider</x:v>
      </x:c>
      <x:c r="AC205" s="47" t="str">
        <x:v>Feb 2027</x:v>
      </x:c>
    </x:row>
    <x:row r="206" ht="48" customHeight="1">
      <x:c r="A206" s="51" t="str">
        <x:v>Toi Ohomai Institute of Technology</x:v>
      </x:c>
      <x:c r="B206" s="52" t="str">
        <x:v>Toi Ohomai</x:v>
      </x:c>
      <x:c r="C206" s="52" t="str">
        <x:v>Hospitality &amp; Tourism</x:v>
      </x:c>
      <x:c r="D206" s="52" t="str">
        <x:v>New Zealand Certificate in Cookery (Level 4)</x:v>
      </x:c>
      <x:c r="E206" s="52"/>
      <x:c r="F206" s="52" t="n">
        <x:v>4</x:v>
      </x:c>
      <x:c r="G206" s="52" t="str">
        <x:v>Certificate</x:v>
      </x:c>
      <x:c r="H206" s="52" t="str">
        <x:v>On campus / in-person (may include blended components)</x:v>
      </x:c>
      <x:c r="I206" s="52" t="str">
        <x:v>Yes — provider publishes international/on-campus availability</x:v>
      </x:c>
      <x:c r="J206" s="52" t="str">
        <x:v>Rotorua; Tauranga; Wider BOP/Other</x:v>
      </x:c>
      <x:c r="K206" s="52" t="str">
        <x:v>1 year full-time, including holidays (if applicable)</x:v>
      </x:c>
      <x:c r="L206" s="52"/>
      <x:c r="M206" s="52" t="str">
        <x:v>Feb 2027</x:v>
      </x:c>
      <x:c r="N206" s="52" t="str">
        <x:v>$26,520</x:v>
      </x:c>
      <x:c r="O206" s="52" t="str">
        <x:v>As stated in international course list</x:v>
      </x:c>
      <x:c r="P206" s="52" t="str">
        <x:v>2026</x:v>
      </x:c>
      <x:c r="Q206" s="52" t="str">
        <x:v>Not published; 2026 fee shown only</x:v>
      </x:c>
      <x:c r="R206" s="52" t="str">
        <x:v>To see the information for international students change your location using the button at the top right of the screen. Career Opportunities Intermediate‐level opportunities as chefs Topic Overview Preparation, cooking and culinary techniques Cold larder preparation and presentation (salads, sandwiches, dressings, buffets) Stocks, sauces and soups Vegetable, fruit and pulses Farinaceous products, rice, grain and egg dishes Meat, poultry and offal, cuts and dishes Fish and shellfish, cuts and dishes Healthier foods and balanced/special diets Patisserie and bakery products, hot and cold desserts Introduction to menu planning, costing and catering Food presentation Food safety practices, contamination hazards, and food storage Workplace health and safety, and workplace first aid Handling and </x:v>
      </x:c>
      <x:c r="S206" s="52" t="str">
        <x:v>Level 4 certificate IELTS General or Academic score of 5.5 with no band score lower than 5 or completed New Zealand Certificate in English Language Level 3 with an endorsement of either General, Workplace or Academic, or meets a relevant English Proficiency Outcome as outlined by NZQA. Course Locations and Intake Information Location Campus Start Date Wider BOP/Other --- 20 Jul 2026 Apply forWork and Study Rotorua Mokoia Campus 22 Feb 2027 Apply now Tauranga Windermere Campus 22 Feb 2027 Apply now Wider BOP/Other --- 22 Feb 2027 Apply forWork and Study Course Unavailable in Your Location? Register your interest and we'll be in touch with avai</x:v>
      </x:c>
      <x:c r="T206" s="52"/>
      <x:c r="U206" s="52" t="str">
        <x:v>No programme-specific scholarship confirmed in the international course list.</x:v>
      </x:c>
      <x:c r="V206" s="58" t="str">
        <x:v>https://www.toiohomai.ac.nz/study/course/new-zealand-certificate-cookery-level-4</x:v>
      </x:c>
      <x:c r="W206" s="58" t="str">
        <x:v>https://www.toiohomai.ac.nz/study/international-courses-list</x:v>
      </x:c>
      <x:c r="X206" s="52" t="str">
        <x:v>2026-07-29</x:v>
      </x:c>
      <x:c r="Y206" s="52" t="str">
        <x:v>Double-checked: live programme page + official international source</x:v>
      </x:c>
      <x:c r="Z206" s="52" t="str">
        <x:v>The international list says fees are indicative. Live pages state that 2027 fees are not yet confirmed.</x:v>
      </x:c>
      <x:c r="AA206" s="52"/>
      <x:c r="AB206" s="52" t="str">
        <x:v>Published by provider</x:v>
      </x:c>
      <x:c r="AC206" s="53" t="str">
        <x:v>Feb 2027</x:v>
      </x:c>
    </x:row>
    <x:row r="207" ht="48" customHeight="1">
      <x:c r="A207" s="45" t="str">
        <x:v>Toi Ohomai Institute of Technology</x:v>
      </x:c>
      <x:c r="B207" s="46" t="str">
        <x:v>Toi Ohomai</x:v>
      </x:c>
      <x:c r="C207" s="46" t="str">
        <x:v>Other</x:v>
      </x:c>
      <x:c r="D207" s="46" t="str">
        <x:v>Master of Applied Professional Studies (Mentoring and Leadership)</x:v>
      </x:c>
      <x:c r="E207" s="46"/>
      <x:c r="F207" s="46" t="n">
        <x:v>9</x:v>
      </x:c>
      <x:c r="G207" s="46" t="str">
        <x:v>Master's Degree</x:v>
      </x:c>
      <x:c r="H207" s="46" t="str">
        <x:v>On campus / in-person (may include blended components)</x:v>
      </x:c>
      <x:c r="I207" s="46" t="str">
        <x:v>Yes — provider publishes international/on-campus availability</x:v>
      </x:c>
      <x:c r="J207" s="46" t="str">
        <x:v>Rotorua; Tauranga</x:v>
      </x:c>
      <x:c r="K207" s="46" t="str">
        <x:v>1.5 years full-time, including holidays (if applicable); part-time study available</x:v>
      </x:c>
      <x:c r="L207" s="46" t="str">
        <x:v>Nov 2026</x:v>
      </x:c>
      <x:c r="M207" s="46"/>
      <x:c r="N207" s="46" t="str">
        <x:v>$36,270</x:v>
      </x:c>
      <x:c r="O207" s="46" t="str">
        <x:v>As stated in international course list</x:v>
      </x:c>
      <x:c r="P207" s="46" t="str">
        <x:v>2026</x:v>
      </x:c>
      <x:c r="Q207" s="46" t="str">
        <x:v>No 2027 intake in this verified row</x:v>
      </x:c>
      <x:c r="R207" s="46" t="str">
        <x:v>To see the information for international students change your location using the button at the top right of the screen. Timetable Monday, 9am-12pm &amp; 1pm-4pm Tuesday, 1pm-4pm Wednesday, 9am-12pm &amp; 1pm-4pm *Please note: timetable is subject to change. Career Opportunities Advancement or employment related to your current field of practice, in roles such as: Formal and informal leadership roles within a workplace or industry team Associate teacher supporting students on placement (if meets registration requirements) Educational leadership roles Mentoring and leadership within health and social services Mentoring and supervision of staff Topic Overview Critical Reflective Practice Professional Leadership Adult Learning Theory Building Professional Relationships for Mentoring Mentoring and Supe</x:v>
      </x:c>
      <x:c r="S207" s="46" t="str">
        <x:v>IELTS Academic score of 6.5 with no band score lower than 6 or completed New Zealand Certificate in English Language Level 5 with the Academic Endorsement or meets a relevant English Proficiency Outcome as outlined by NZQA. Course Locations and Intake Information Location Campus Start Date Tauranga Windermere Campus 20 Jul 2026 Apply now Rotorua Mokoia Campus 9 Nov 2026 Apply now Rotorua Mokoia Campus 22 Feb 2027 Apply now Tauranga Windermere Campus 19 Jul 2027 Apply now Course Unavailable in Your Location? Register your interest and we'll be in touch with available options. Important Dates View calendar of start dates and events Get a summar</x:v>
      </x:c>
      <x:c r="T207" s="46"/>
      <x:c r="U207" s="46" t="str">
        <x:v>No programme-specific scholarship confirmed in the international course list.</x:v>
      </x:c>
      <x:c r="V207" s="59" t="str">
        <x:v>https://www.toiohomai.ac.nz/study/course/master-applied-professional-studies-mentoring-and-leadership</x:v>
      </x:c>
      <x:c r="W207" s="59" t="str">
        <x:v>https://www.toiohomai.ac.nz/study/international-courses-list</x:v>
      </x:c>
      <x:c r="X207" s="46" t="str">
        <x:v>2026-07-29</x:v>
      </x:c>
      <x:c r="Y207" s="46" t="str">
        <x:v>Double-checked: live programme page + official international source</x:v>
      </x:c>
      <x:c r="Z207" s="46" t="str">
        <x:v>The international list says fees are indicative. Live pages state that 2027 fees are not yet confirmed. 2027 planning date is projected from the 2026 start pattern and is not provider-confirmed.</x:v>
      </x:c>
      <x:c r="AA207" s="46" t="str">
        <x:v>Projected from 2026 pattern: Nov 2027</x:v>
      </x:c>
      <x:c r="AB207" s="46" t="str">
        <x:v>Projected from 2026 pattern — not provider-published; reconfirm before application</x:v>
      </x:c>
      <x:c r="AC207" s="47" t="str">
        <x:v>Projected from 2026 pattern: Nov 2027</x:v>
      </x:c>
    </x:row>
    <x:row r="208" ht="48" customHeight="1">
      <x:c r="A208" s="51" t="str">
        <x:v>Toi Ohomai Institute of Technology</x:v>
      </x:c>
      <x:c r="B208" s="52" t="str">
        <x:v>Toi Ohomai</x:v>
      </x:c>
      <x:c r="C208" s="52" t="str">
        <x:v>Other</x:v>
      </x:c>
      <x:c r="D208" s="52" t="str">
        <x:v>Postgraduate Diploma in Applied Professional Studies (Mentoring and Leadership)</x:v>
      </x:c>
      <x:c r="E208" s="52"/>
      <x:c r="F208" s="52" t="n">
        <x:v>8</x:v>
      </x:c>
      <x:c r="G208" s="52" t="str">
        <x:v>Postgraduate Diploma</x:v>
      </x:c>
      <x:c r="H208" s="52" t="str">
        <x:v>On campus / in-person (may include blended components)</x:v>
      </x:c>
      <x:c r="I208" s="52" t="str">
        <x:v>Yes — provider publishes international/on-campus availability</x:v>
      </x:c>
      <x:c r="J208" s="52" t="str">
        <x:v>Rotorua; Tauranga</x:v>
      </x:c>
      <x:c r="K208" s="52" t="str">
        <x:v>1 year full-time, including holidays (if applicable); part-time study available</x:v>
      </x:c>
      <x:c r="L208" s="52" t="str">
        <x:v>Nov 2026</x:v>
      </x:c>
      <x:c r="M208" s="52"/>
      <x:c r="N208" s="52" t="str">
        <x:v>$25,740</x:v>
      </x:c>
      <x:c r="O208" s="52" t="str">
        <x:v>As stated in international course list</x:v>
      </x:c>
      <x:c r="P208" s="52" t="str">
        <x:v>2026</x:v>
      </x:c>
      <x:c r="Q208" s="52" t="str">
        <x:v>No 2027 intake in this verified row</x:v>
      </x:c>
      <x:c r="R208" s="52" t="str">
        <x:v>To see the information for international students change your location using the button at the top right of the screen. Timetable Monday, 9am-3pmTuesday, 9am-3pmWednesday, 9am-3pmThursday, 9am-3pm *Please note: timetable is subject to change. Career Opportunities Advancement or employment related to your current field of practice, in roles such as: Formal and informal leadership roles within a workplace or industry team Associate teacher supporting students on placement (if meets registration requirements) Educational leadership roles Mentoring and leadership within health and social services Mentoring and supervision of staff Topic Overview Critical Reflective Practice Professional Leadership The New Zealand Legislative Environment for Professional Leaders Building Professional Relationsh</x:v>
      </x:c>
      <x:c r="S208" s="52" t="str">
        <x:v>IELTS Academic score of 6.5 with no band score lower than 6 or completed New Zealand Certificate in English Language Level 5 with the Academic Endorsement or meets a relevant English Proficiency Outcome as outlined by NZQA. Course Locations and Intake Information Location Campus Start Date Tauranga Windermere Campus 20 Jul 2026 Apply now Rotorua Mokoia Campus 9 Nov 2026 Apply now Rotorua Mokoia Campus 22 Feb 2027 Apply now Tauranga Windermere Campus 19 Jul 2027 Apply now Course Unavailable in Your Location? Register your interest and we'll be in touch with available options. Important Dates View calendar of start dates and events Get a summar</x:v>
      </x:c>
      <x:c r="T208" s="52"/>
      <x:c r="U208" s="52" t="str">
        <x:v>No programme-specific scholarship confirmed in the international course list.</x:v>
      </x:c>
      <x:c r="V208" s="58" t="str">
        <x:v>https://www.toiohomai.ac.nz/study/course/postgraduate-diploma-applied-professional-studies-mentoring-and-leadership</x:v>
      </x:c>
      <x:c r="W208" s="58" t="str">
        <x:v>https://www.toiohomai.ac.nz/study/international-courses-list</x:v>
      </x:c>
      <x:c r="X208" s="52" t="str">
        <x:v>2026-07-29</x:v>
      </x:c>
      <x:c r="Y208" s="52" t="str">
        <x:v>Double-checked: live programme page + official international source</x:v>
      </x:c>
      <x:c r="Z208" s="52" t="str">
        <x:v>The international list says fees are indicative. Live pages state that 2027 fees are not yet confirmed. 2027 planning date is projected from the 2026 start pattern and is not provider-confirmed.</x:v>
      </x:c>
      <x:c r="AA208" s="52" t="str">
        <x:v>Projected from 2026 pattern: Nov 2027</x:v>
      </x:c>
      <x:c r="AB208" s="52" t="str">
        <x:v>Projected from 2026 pattern — not provider-published; reconfirm before application</x:v>
      </x:c>
      <x:c r="AC208" s="53" t="str">
        <x:v>Projected from 2026 pattern: Nov 2027</x:v>
      </x:c>
    </x:row>
    <x:row r="209" ht="48" customHeight="1">
      <x:c r="A209" s="45" t="str">
        <x:v>Toi Ohomai Institute of Technology</x:v>
      </x:c>
      <x:c r="B209" s="46" t="str">
        <x:v>Toi Ohomai</x:v>
      </x:c>
      <x:c r="C209" s="46" t="str">
        <x:v>Science &amp; Environment</x:v>
      </x:c>
      <x:c r="D209" s="46" t="str">
        <x:v>Master of Applied Science</x:v>
      </x:c>
      <x:c r="E209" s="46"/>
      <x:c r="F209" s="46" t="n">
        <x:v>9</x:v>
      </x:c>
      <x:c r="G209" s="46" t="str">
        <x:v>Master's Degree</x:v>
      </x:c>
      <x:c r="H209" s="46" t="str">
        <x:v>On campus / in-person (may include blended components)</x:v>
      </x:c>
      <x:c r="I209" s="46" t="str">
        <x:v>Yes — provider publishes international/on-campus availability</x:v>
      </x:c>
      <x:c r="J209" s="46" t="str">
        <x:v>Mokoia Campus, Rotorua</x:v>
      </x:c>
      <x:c r="K209" s="46" t="str">
        <x:v>1.5 years full-time; part-time study available</x:v>
      </x:c>
      <x:c r="L209" s="46"/>
      <x:c r="M209" s="46" t="str">
        <x:v>Feb 2027</x:v>
      </x:c>
      <x:c r="N209" s="46" t="str">
        <x:v>$41,106</x:v>
      </x:c>
      <x:c r="O209" s="46" t="str">
        <x:v>As stated in international course list</x:v>
      </x:c>
      <x:c r="P209" s="46" t="str">
        <x:v>2026</x:v>
      </x:c>
      <x:c r="Q209" s="46" t="str">
        <x:v>Not published; 2026 fee shown only</x:v>
      </x:c>
      <x:c r="R209" s="46"/>
      <x:c r="S209" s="46"/>
      <x:c r="T209" s="46"/>
      <x:c r="U209" s="46" t="str">
        <x:v>No programme-specific scholarship confirmed in the international course list.</x:v>
      </x:c>
      <x:c r="V209" s="59" t="str">
        <x:v>https://www.toiohomai.ac.nz/study/course/master-applied-science</x:v>
      </x:c>
      <x:c r="W209" s="59" t="str">
        <x:v>https://www.toiohomai.ac.nz/study/international-courses-list</x:v>
      </x:c>
      <x:c r="X209" s="46" t="str">
        <x:v>2026-07-29</x:v>
      </x:c>
      <x:c r="Y209" s="46" t="str">
        <x:v>Double-checked: live programme page + official international source</x:v>
      </x:c>
      <x:c r="Z209" s="46" t="str">
        <x:v>The international list says fees are indicative. Live pages state that 2027 fees are not yet confirmed.</x:v>
      </x:c>
      <x:c r="AA209" s="46"/>
      <x:c r="AB209" s="46" t="str">
        <x:v>Published by provider</x:v>
      </x:c>
      <x:c r="AC209" s="47" t="str">
        <x:v>Feb 2027</x:v>
      </x:c>
    </x:row>
    <x:row r="210" ht="48" customHeight="1">
      <x:c r="A210" s="51" t="str">
        <x:v>Toi Ohomai Institute of Technology</x:v>
      </x:c>
      <x:c r="B210" s="52" t="str">
        <x:v>Toi Ohomai</x:v>
      </x:c>
      <x:c r="C210" s="52" t="str">
        <x:v>Sport &amp; Outdoor</x:v>
      </x:c>
      <x:c r="D210" s="52" t="str">
        <x:v>New Zealand Diploma in Sport, Recreation and Exercise (Level 6)</x:v>
      </x:c>
      <x:c r="E210" s="52"/>
      <x:c r="F210" s="52" t="n">
        <x:v>6</x:v>
      </x:c>
      <x:c r="G210" s="52" t="str">
        <x:v>Diploma</x:v>
      </x:c>
      <x:c r="H210" s="52" t="str">
        <x:v>On campus / in-person (may include blended components)</x:v>
      </x:c>
      <x:c r="I210" s="52" t="str">
        <x:v>Yes — provider publishes international/on-campus availability</x:v>
      </x:c>
      <x:c r="J210" s="52" t="str">
        <x:v>Tauranga</x:v>
      </x:c>
      <x:c r="K210" s="52" t="str">
        <x:v>1 year full-time, including holidays (if applicable); part-time study available</x:v>
      </x:c>
      <x:c r="L210" s="52"/>
      <x:c r="M210" s="52" t="str">
        <x:v>Mar 2027</x:v>
      </x:c>
      <x:c r="N210" s="52" t="str">
        <x:v>$26,520</x:v>
      </x:c>
      <x:c r="O210" s="52" t="str">
        <x:v>As stated in international course list</x:v>
      </x:c>
      <x:c r="P210" s="52" t="str">
        <x:v>2026</x:v>
      </x:c>
      <x:c r="Q210" s="52" t="str">
        <x:v>Not published; 2026 fee shown only</x:v>
      </x:c>
      <x:c r="R210" s="52" t="str">
        <x:v>To see the information for international students change your location using the button at the top right of the screen. Timetable Semester 1Monday, 9am-1pm (alternate weeks)Tuesday, 9am-1pmWednesday, 9am-1pm Semester 2Monday, 9am-3pmTuesday, 9am-1pmWednesday, 9am-3pm *Please note: timetable is subject to change. Career Opportunities Community Sport Manager Community Health Manager Event Manager Facility Manager Hauora or Health Exercise Educator Outdoor Educator Outdoor Recreation Manager Parks Manager Recreation Planner Recreation Manager Sport Director Sport Kairangahau Sport Kaiako Whānau Ora Manager Graduates may also be able to work with workplaces such as: Community Health Providers Community Sport Providers Outdoor Education Centres Exercise Facilities Iwi Organisations Local Counci</x:v>
      </x:c>
      <x:c r="S210" s="52" t="str">
        <x:v>International applicants for whom English is not their first language will be required to show evidence of language competency, issued within the last two years with the following level of competency IELTS score of 6.0 with no band score lower than 5.5 or completed NZ Certificate in English Language Level 4 with an endorsement of either (use as applicable General, Workplace or Academic) or meets a relevant English Proficiency Outcome as outlined in NZQF related Rules (Rule 18) – The Table. Standard Entry Criteria Admission, entry, selection, and enrolment into programmes will be in accordance with the Academic Regulations and/or, where approv</x:v>
      </x:c>
      <x:c r="T210" s="52"/>
      <x:c r="U210" s="52" t="str">
        <x:v>No programme-specific scholarship confirmed in the international course list.</x:v>
      </x:c>
      <x:c r="V210" s="58" t="str">
        <x:v>https://www.toiohomai.ac.nz/study/course/new-zealand-diploma-sport-recreation-and-exercise-level-6</x:v>
      </x:c>
      <x:c r="W210" s="58" t="str">
        <x:v>https://www.toiohomai.ac.nz/study/international-courses-list</x:v>
      </x:c>
      <x:c r="X210" s="52" t="str">
        <x:v>2026-07-29</x:v>
      </x:c>
      <x:c r="Y210" s="52" t="str">
        <x:v>Double-checked: live programme page + official international source</x:v>
      </x:c>
      <x:c r="Z210" s="52" t="str">
        <x:v>The international list says fees are indicative. Live pages state that 2027 fees are not yet confirmed.</x:v>
      </x:c>
      <x:c r="AA210" s="52"/>
      <x:c r="AB210" s="52" t="str">
        <x:v>Published by provider</x:v>
      </x:c>
      <x:c r="AC210" s="53" t="str">
        <x:v>Mar 2027</x:v>
      </x:c>
    </x:row>
    <x:row r="211" ht="48" customHeight="1">
      <x:c r="A211" s="45" t="str">
        <x:v>Toi Ohomai Institute of Technology</x:v>
      </x:c>
      <x:c r="B211" s="46" t="str">
        <x:v>Toi Ohomai</x:v>
      </x:c>
      <x:c r="C211" s="46" t="str">
        <x:v>Sport &amp; Outdoor</x:v>
      </x:c>
      <x:c r="D211" s="46" t="str">
        <x:v>New Zealand Diploma in Sport, Recreation and Exercise (Level 5)</x:v>
      </x:c>
      <x:c r="E211" s="46"/>
      <x:c r="F211" s="46" t="n">
        <x:v>5</x:v>
      </x:c>
      <x:c r="G211" s="46" t="str">
        <x:v>Diploma</x:v>
      </x:c>
      <x:c r="H211" s="46" t="str">
        <x:v>On campus / in-person (may include blended components)</x:v>
      </x:c>
      <x:c r="I211" s="46" t="str">
        <x:v>Yes — provider publishes international/on-campus availability</x:v>
      </x:c>
      <x:c r="J211" s="46" t="str">
        <x:v>Rotorua; Tauranga</x:v>
      </x:c>
      <x:c r="K211" s="46" t="str">
        <x:v>1 year full-time, including holidays (if applicable); part-time study available</x:v>
      </x:c>
      <x:c r="L211" s="46"/>
      <x:c r="M211" s="46" t="str">
        <x:v>Mar 2027</x:v>
      </x:c>
      <x:c r="N211" s="46" t="str">
        <x:v>$26,520</x:v>
      </x:c>
      <x:c r="O211" s="46" t="str">
        <x:v>As stated in international course list</x:v>
      </x:c>
      <x:c r="P211" s="46" t="str">
        <x:v>2026</x:v>
      </x:c>
      <x:c r="Q211" s="46" t="str">
        <x:v>Not published; 2026 fee shown only</x:v>
      </x:c>
      <x:c r="R211" s="46" t="str">
        <x:v>To see the information for international students change your location using the button at the top right of the screen. Timetable RotoruaTuesday, 9am-3.30pmWednesday, 9am-1pmThursday, 9am-12pm TaurangaTuesday, 9am-1pmWednesday, 8am-2pmThursday, 9am-1pm *Please note: timetable is subject to change. Career Opportunities Event Supervisor Exercise Consultant Hauora or Health Educator OSCAR Leader Recreation Supervisor Recreation Programme Coordinator Sport Development Officer Sport Coordinator Whānau Ora leader Topic Overview OTHH5020: Introduction to Sport and Exercise Science OTHH5023: The Coaching Process SPOR5016: Exercise, Sport and Recreation Planning SPOR5017: Academic and Professional Skills SPOR5018: Sport, Exercise and Recreation in Aotearoa New Zealand SPOR5019: Leadership in Exerci</x:v>
      </x:c>
      <x:c r="S211" s="46" t="str">
        <x:v>Level 5 certificate or diploma IELTS Academic score of 5.5 with no band score lower than 5 or completed NZ Certificate in English Language Level 4 with the Academic Endorsement or meets a relevant English Proficiency Outcome as outlined by NZQA. Course Locations and Intake Information Location Campus Start Date Rotorua Mokoia Campus 1 Mar 2027 Apply now Tauranga Windermere Campus 1 Mar 2027 Apply now Course Unavailable in Your Location? Register your interest and we'll be in touch with available options. Important Dates View calendar of start dates and events Get a summary of this page Further Study Options Courses Offered at Toi Ohomai Bache</x:v>
      </x:c>
      <x:c r="T211" s="46"/>
      <x:c r="U211" s="46" t="str">
        <x:v>No programme-specific scholarship confirmed in the international course list.</x:v>
      </x:c>
      <x:c r="V211" s="59" t="str">
        <x:v>https://www.toiohomai.ac.nz/study/course/new-zealand-diploma-sport-recreation-and-exercise-level-5</x:v>
      </x:c>
      <x:c r="W211" s="59" t="str">
        <x:v>https://www.toiohomai.ac.nz/study/international-courses-list</x:v>
      </x:c>
      <x:c r="X211" s="46" t="str">
        <x:v>2026-07-29</x:v>
      </x:c>
      <x:c r="Y211" s="46" t="str">
        <x:v>Double-checked: live programme page + official international source</x:v>
      </x:c>
      <x:c r="Z211" s="46" t="str">
        <x:v>The international list says fees are indicative. Live pages state that 2027 fees are not yet confirmed.</x:v>
      </x:c>
      <x:c r="AA211" s="46"/>
      <x:c r="AB211" s="46" t="str">
        <x:v>Published by provider</x:v>
      </x:c>
      <x:c r="AC211" s="47" t="str">
        <x:v>Mar 2027</x:v>
      </x:c>
    </x:row>
    <x:row r="212" ht="48" customHeight="1">
      <x:c r="A212" s="51" t="str">
        <x:v>Toi Ohomai Institute of Technology</x:v>
      </x:c>
      <x:c r="B212" s="52" t="str">
        <x:v>Toi Ohomai</x:v>
      </x:c>
      <x:c r="C212" s="52" t="str">
        <x:v>Sport &amp; Outdoor</x:v>
      </x:c>
      <x:c r="D212" s="52" t="str">
        <x:v>Cert 4 Fitness (Level 4)</x:v>
      </x:c>
      <x:c r="E212" s="52"/>
      <x:c r="F212" s="52" t="n">
        <x:v>4</x:v>
      </x:c>
      <x:c r="G212" s="52" t="str">
        <x:v>Qualification</x:v>
      </x:c>
      <x:c r="H212" s="52" t="str">
        <x:v>On campus / in-person (may include blended components)</x:v>
      </x:c>
      <x:c r="I212" s="52" t="str">
        <x:v>Yes — provider publishes international/on-campus availability</x:v>
      </x:c>
      <x:c r="J212" s="52" t="str">
        <x:v>Rotorua; Tauranga</x:v>
      </x:c>
      <x:c r="K212" s="52" t="str">
        <x:v>1 year full-time, including holidays (if applicable)</x:v>
      </x:c>
      <x:c r="L212" s="52"/>
      <x:c r="M212" s="52" t="str">
        <x:v>Mar 2027</x:v>
      </x:c>
      <x:c r="N212" s="52" t="str">
        <x:v>$26,520</x:v>
      </x:c>
      <x:c r="O212" s="52" t="str">
        <x:v>As stated in international course list</x:v>
      </x:c>
      <x:c r="P212" s="52" t="str">
        <x:v>2026</x:v>
      </x:c>
      <x:c r="Q212" s="52" t="str">
        <x:v>Not published; 2026 fee shown only</x:v>
      </x:c>
      <x:c r="R212" s="52" t="str">
        <x:v>To see the information for international students change your location using the button at the top right of the screen. Timetable Rotorua: Monday - Thursday, 9am - 3pmTauranga: Monday - Thursday, 9am - 3pm *Please note: timetable is subject to change. Career Opportunities Exercise Consultant Community Exercise Instructor Team Training Instructor Personal Trainer Freestyle Group Exercise Instructor Group or Small Team Training Instructor Self-employed Topic Overview Anatomy Physiology Exercise Analysis Energy Systems Retention Goal Setting Client Pre-Screen Professionalism Principles of Training Fitness Testing Exercise Prescription Nutrition Health Models First Aid Business Skills Marketing Choreography Programme Delivery Group Exercise Classes Exercise Abilities Health and Wellbeing Cultu</x:v>
      </x:c>
      <x:c r="S212" s="52" t="str">
        <x:v>Level 4 certificate IELTS General or Academic score of 5.5 with no band score lower than 5 or completed New Zealand Certificate in English Language Level 3 with an endorsement of either General, Workplace or Academic, or meets a relevant English Proficiency Outcome as outlined by NZQA. Course Locations and Intake Information Location Campus Start Date Rotorua Mokoia Campus 8 Mar 2027 Apply now Tauranga Windermere Campus 8 Mar 2027 Apply now Course Unavailable in Your Location? Register your interest and we'll be in touch with available options. Important Dates View calendar of start dates and events Get a summary of this page Further Study Op</x:v>
      </x:c>
      <x:c r="T212" s="52"/>
      <x:c r="U212" s="52" t="str">
        <x:v>No programme-specific scholarship confirmed in the international course list.</x:v>
      </x:c>
      <x:c r="V212" s="58" t="str">
        <x:v>https://www.toiohomai.ac.nz/study/course/cert-4-fitness-level-4</x:v>
      </x:c>
      <x:c r="W212" s="58" t="str">
        <x:v>https://www.toiohomai.ac.nz/study/international-courses-list</x:v>
      </x:c>
      <x:c r="X212" s="52" t="str">
        <x:v>2026-07-29</x:v>
      </x:c>
      <x:c r="Y212" s="52" t="str">
        <x:v>Double-checked: live programme page + official international source</x:v>
      </x:c>
      <x:c r="Z212" s="52" t="str">
        <x:v>The international list says fees are indicative. Live pages state that 2027 fees are not yet confirmed.</x:v>
      </x:c>
      <x:c r="AA212" s="52"/>
      <x:c r="AB212" s="52" t="str">
        <x:v>Published by provider</x:v>
      </x:c>
      <x:c r="AC212" s="53" t="str">
        <x:v>Mar 2027</x:v>
      </x:c>
    </x:row>
    <x:row r="213" ht="48" customHeight="1">
      <x:c r="A213" s="45" t="str">
        <x:v>Waikato Institute of Technology</x:v>
      </x:c>
      <x:c r="B213" s="46" t="str">
        <x:v>Wintec</x:v>
      </x:c>
      <x:c r="C213" s="46" t="str">
        <x:v>Business &amp; Management</x:v>
      </x:c>
      <x:c r="D213" s="46" t="str">
        <x:v>Master of Applied Management</x:v>
      </x:c>
      <x:c r="E213" s="46"/>
      <x:c r="F213" s="46" t="n">
        <x:v>9</x:v>
      </x:c>
      <x:c r="G213" s="46" t="str">
        <x:v>Master's Degree</x:v>
      </x:c>
      <x:c r="H213" s="46" t="str">
        <x:v>On campus / in-person (may include blended components)</x:v>
      </x:c>
      <x:c r="I213" s="46" t="str">
        <x:v>Yes — provider publishes international/on-campus availability</x:v>
      </x:c>
      <x:c r="J213" s="46" t="str">
        <x:v>Hamilton City Campus</x:v>
      </x:c>
      <x:c r="K213" s="46" t="str">
        <x:v>Varies Full-time or Part-time</x:v>
      </x:c>
      <x:c r="L213" s="46" t="str">
        <x:v>Sep 2026</x:v>
      </x:c>
      <x:c r="M213" s="46" t="str">
        <x:v>Feb 2027</x:v>
      </x:c>
      <x:c r="N213" s="46" t="str">
        <x:v>$24,600 (2026 study grant already applied)</x:v>
      </x:c>
      <x:c r="O213" s="46" t="str">
        <x:v>2026 international fees flyer</x:v>
      </x:c>
      <x:c r="P213" s="46" t="str">
        <x:v>2026</x:v>
      </x:c>
      <x:c r="Q213" s="46" t="str">
        <x:v>Not published; 2026 fee shown only</x:v>
      </x:c>
      <x:c r="R213" s="46" t="str">
        <x:v>Pathways Your First Day Prospectus (Course Guide) Portfolio Need Help? Course details Jul 2026 Sep 2026 Feb 2027 Varies Full-time or Part-time Fee dependent on modules selected Level 9 Available for International Students. International Fee Guideline Hamilton City Campus Summary Effective management responds to the needs of people, processes, and technology. This Master's programme brings together theory, applied practice and research, designed to develop advanced knowledge and skills in applied management.Developed to ensure you study a broad range of business areas, you will cover eight professional competencies that represent technical skills with two areas of focus and three pathway options.The eight areas of professional competence are:moneymarketspeople and cultureplanningtechnologyi</x:v>
      </x:c>
      <x:c r="S213" s="46" t="str">
        <x:v>Applicants who have English as a second language are required to have an overall academic International English Language Test System (IELTS) score of 6.5, with no individual band score lower than 6.0 achieved in the last two years; or PTE: (Academic) score of 58 with no band score lower than 50 or NZCEL: Level 5.Note: if you do not meet the entry criteria above, you may be admitted to the Postgraduate Certificate in Applied Management and, upon successful completion of four modules (with a minimum B average), be admitted to the Master of Applied Management. Do you need more information? CONTACT US Pathways To check what you need to gain direc</x:v>
      </x:c>
      <x:c r="T213" s="46"/>
      <x:c r="U213" s="46" t="str">
        <x:v>No programme-specific international scholarship confirmed on the live page.</x:v>
      </x:c>
      <x:c r="V213" s="59" t="str">
        <x:v>https://www.wintec.ac.nz/study-at-wintec/courses/business/master-of-applied-management</x:v>
      </x:c>
      <x:c r="W213" s="59" t="str">
        <x:v>https://www.wintec.ac.nz/international</x:v>
      </x:c>
      <x:c r="X213" s="46" t="str">
        <x:v>2026-07-29</x:v>
      </x:c>
      <x:c r="Y213" s="46" t="str">
        <x:v>Double-checked: live programme page + official international source</x:v>
      </x:c>
      <x:c r="Z213" s="46" t="str">
        <x:v>Domestic fee shown elsewhere on the page is ignored; international fee guideline controls this field.</x:v>
      </x:c>
      <x:c r="AA213" s="46"/>
      <x:c r="AB213" s="46" t="str">
        <x:v>Published by provider</x:v>
      </x:c>
      <x:c r="AC213" s="47" t="str">
        <x:v>Feb 2027</x:v>
      </x:c>
    </x:row>
    <x:row r="214" ht="48" customHeight="1">
      <x:c r="A214" s="51" t="str">
        <x:v>Waikato Institute of Technology</x:v>
      </x:c>
      <x:c r="B214" s="52" t="str">
        <x:v>Wintec</x:v>
      </x:c>
      <x:c r="C214" s="52" t="str">
        <x:v>Business &amp; Management</x:v>
      </x:c>
      <x:c r="D214" s="52" t="str">
        <x:v>Postgraduate Certificate and Diploma in Applied Management</x:v>
      </x:c>
      <x:c r="E214" s="52"/>
      <x:c r="F214" s="52" t="n">
        <x:v>8</x:v>
      </x:c>
      <x:c r="G214" s="52" t="str">
        <x:v>Postgraduate Certificate</x:v>
      </x:c>
      <x:c r="H214" s="52" t="str">
        <x:v>On campus / in-person (may include blended components)</x:v>
      </x:c>
      <x:c r="I214" s="52" t="str">
        <x:v>Yes — provider publishes international/on-campus availability</x:v>
      </x:c>
      <x:c r="J214" s="52" t="str">
        <x:v>Hamilton City Campus</x:v>
      </x:c>
      <x:c r="K214" s="52" t="str">
        <x:v>Varies Full-time or Part-time</x:v>
      </x:c>
      <x:c r="L214" s="52" t="str">
        <x:v>Sep 2026</x:v>
      </x:c>
      <x:c r="M214" s="52" t="str">
        <x:v>Feb 2027</x:v>
      </x:c>
      <x:c r="N214" s="52" t="str">
        <x:v>$14,600 for 6 months</x:v>
      </x:c>
      <x:c r="O214" s="52" t="str">
        <x:v>2026 international fees flyer</x:v>
      </x:c>
      <x:c r="P214" s="52" t="str">
        <x:v>2026</x:v>
      </x:c>
      <x:c r="Q214" s="52" t="str">
        <x:v>Not published; 2026 fee shown only</x:v>
      </x:c>
      <x:c r="R214" s="52" t="str">
        <x:v>Pathways Your First Day Prospectus (Course Guide) Portfolio Need Help? Course details Jul 2026 Sep 2026 Feb 2027 Varies Full-time or Part-time Fee dependent on modules selected Level 8 Available for International Students. International Fee Guideline Hamilton City Campus Summary Broaden your applied management expertise with a postgraduate certificate or diploma. This flexible, multi-layered programme is designed to extend, deepen and consolidate your future at the forefront of business and management.You will gain specialised business knowledge and skills and the ability to apply business knowledge by building on existing qualifications and experience, resulting in a comprehensive understanding, professional competence and leadership skills in modern business and management. Elective cour</x:v>
      </x:c>
      <x:c r="S214" s="52" t="str">
        <x:v>Applicants who have English as a second language are required to have an overall academic International English Language Test System (IELTS) score of 6.5, with no individual band score lower than 6.0 achieved in the last two years; or PTE: (Academic) score of 58 with no band score lower than 50 or NZCEL: Level 5. Do not meet the entry criteria or need more information? CONTACT US Pathways To check what you need to gain direct entry to a course, review the entry criteria available on each programme page. These assist you in understanding what qualifications or experience are typically required to gain entry. You can contact our team at info@wi</x:v>
      </x:c>
      <x:c r="T214" s="52"/>
      <x:c r="U214" s="52" t="str">
        <x:v>No programme-specific international scholarship confirmed on the live page.</x:v>
      </x:c>
      <x:c r="V214" s="58" t="str">
        <x:v>https://www.wintec.ac.nz/study-at-wintec/courses/business/postgraduate-certificate-and-diploma-in-applied-management</x:v>
      </x:c>
      <x:c r="W214" s="58" t="str">
        <x:v>https://www.wintec.ac.nz/international</x:v>
      </x:c>
      <x:c r="X214" s="52" t="str">
        <x:v>2026-07-29</x:v>
      </x:c>
      <x:c r="Y214" s="52" t="str">
        <x:v>Double-checked: live programme page + official international source</x:v>
      </x:c>
      <x:c r="Z214" s="52" t="str">
        <x:v>Domestic fee shown elsewhere on the page is ignored; international fee guideline controls this field.</x:v>
      </x:c>
      <x:c r="AA214" s="52"/>
      <x:c r="AB214" s="52" t="str">
        <x:v>Published by provider</x:v>
      </x:c>
      <x:c r="AC214" s="53" t="str">
        <x:v>Feb 2027</x:v>
      </x:c>
    </x:row>
    <x:row r="215" ht="48" customHeight="1">
      <x:c r="A215" s="45" t="str">
        <x:v>Waikato Institute of Technology</x:v>
      </x:c>
      <x:c r="B215" s="46" t="str">
        <x:v>Wintec</x:v>
      </x:c>
      <x:c r="C215" s="46" t="str">
        <x:v>Business &amp; Management</x:v>
      </x:c>
      <x:c r="D215" s="46" t="str">
        <x:v>Bachelor of Applied Management</x:v>
      </x:c>
      <x:c r="E215" s="46"/>
      <x:c r="F215" s="46" t="n">
        <x:v>7</x:v>
      </x:c>
      <x:c r="G215" s="46" t="str">
        <x:v>Bachelor's Degree</x:v>
      </x:c>
      <x:c r="H215" s="46" t="str">
        <x:v>On campus / in-person (may include blended components)</x:v>
      </x:c>
      <x:c r="I215" s="46" t="str">
        <x:v>Yes — provider publishes international/on-campus availability</x:v>
      </x:c>
      <x:c r="J215" s="46" t="str">
        <x:v>Hamilton City Campus</x:v>
      </x:c>
      <x:c r="K215" s="46" t="str">
        <x:v>Three years Full-time or Part-time</x:v>
      </x:c>
      <x:c r="L215" s="46"/>
      <x:c r="M215" s="46" t="str">
        <x:v>Feb 2027</x:v>
      </x:c>
      <x:c r="N215" s="46" t="str">
        <x:v>$26,600</x:v>
      </x:c>
      <x:c r="O215" s="46" t="str">
        <x:v>2026 international fees flyer</x:v>
      </x:c>
      <x:c r="P215" s="46" t="str">
        <x:v>2026</x:v>
      </x:c>
      <x:c r="Q215" s="46" t="str">
        <x:v>Not published; 2026 fee shown only</x:v>
      </x:c>
      <x:c r="R215" s="46" t="str">
        <x:v>Pathways Your First Day Prospectus (Course Guide) Portfolio Need Help? Course details Jul 2026 Feb 2027 Three years Full-time or Part-time $8,248* per year You may qualify for fee-free study under the Fees Free Policy Level 7 Available for International Students. International Fee Guideline Hamilton City Campus Summary Gain specialist skills to make your mark in the business world. The Bachelor of Applied Management degree is designed for those with a drive to succeed in business, with a practical focus and a flexible structure. You will choose from a range of majors and elective modules, gaining a broad range of business skills, specialist skills, and work experience in your chosen major.You will have the opportunity to undertake collaborative real-world projects with students from other </x:v>
      </x:c>
      <x:c r="S215" s="46" t="str">
        <x:v>Candidates who have English as a second language are required to have an International English Language Test System (IELTS) score of 6.0, with no individual band score lower than 5.5; or equivalent, or PTE: (Academic) score of 50 with no band score lower than 42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x:v>
      </x:c>
      <x:c r="T215" s="46"/>
      <x:c r="U215" s="46" t="str">
        <x:v>No programme-specific international scholarship confirmed on the live page.</x:v>
      </x:c>
      <x:c r="V215" s="59" t="str">
        <x:v>https://www.wintec.ac.nz/study-at-wintec/courses/business/bachelor-of-applied-management</x:v>
      </x:c>
      <x:c r="W215" s="59" t="str">
        <x:v>https://www.wintec.ac.nz/international</x:v>
      </x:c>
      <x:c r="X215" s="46" t="str">
        <x:v>2026-07-29</x:v>
      </x:c>
      <x:c r="Y215" s="46" t="str">
        <x:v>Double-checked: live programme page + official international source</x:v>
      </x:c>
      <x:c r="Z215" s="46" t="str">
        <x:v>Domestic fee shown elsewhere on the page is ignored; international fee guideline controls this field.</x:v>
      </x:c>
      <x:c r="AA215" s="46"/>
      <x:c r="AB215" s="46" t="str">
        <x:v>Published by provider</x:v>
      </x:c>
      <x:c r="AC215" s="47" t="str">
        <x:v>Feb 2027</x:v>
      </x:c>
    </x:row>
    <x:row r="216" ht="48" customHeight="1">
      <x:c r="A216" s="51" t="str">
        <x:v>Waikato Institute of Technology</x:v>
      </x:c>
      <x:c r="B216" s="52" t="str">
        <x:v>Wintec</x:v>
      </x:c>
      <x:c r="C216" s="52" t="str">
        <x:v>Business &amp; Management</x:v>
      </x:c>
      <x:c r="D216" s="52" t="str">
        <x:v>Graduate Diploma in Accounting</x:v>
      </x:c>
      <x:c r="E216" s="52"/>
      <x:c r="F216" s="52" t="n">
        <x:v>7</x:v>
      </x:c>
      <x:c r="G216" s="52" t="str">
        <x:v>Graduate Diploma</x:v>
      </x:c>
      <x:c r="H216" s="52" t="str">
        <x:v>On campus / in-person (may include blended components)</x:v>
      </x:c>
      <x:c r="I216" s="52" t="str">
        <x:v>Yes — provider publishes international/on-campus availability</x:v>
      </x:c>
      <x:c r="J216" s="52" t="str">
        <x:v>Hamilton City Campus</x:v>
      </x:c>
      <x:c r="K216" s="52" t="str">
        <x:v>One year Full-time or Part-time</x:v>
      </x:c>
      <x:c r="L216" s="52"/>
      <x:c r="M216" s="52" t="str">
        <x:v>Feb 2027</x:v>
      </x:c>
      <x:c r="N216" s="52" t="str">
        <x:v>$26,600</x:v>
      </x:c>
      <x:c r="O216" s="52" t="str">
        <x:v>2026 international fees flyer</x:v>
      </x:c>
      <x:c r="P216" s="52" t="str">
        <x:v>2026</x:v>
      </x:c>
      <x:c r="Q216" s="52" t="str">
        <x:v>Not published; 2026 fee shown only</x:v>
      </x:c>
      <x:c r="R216" s="52" t="str">
        <x:v>Pathways Your First Day Prospectus (Course Guide) Portfolio Need Help? Course details Jul 2026 Feb 2027 One year Full-time or Part-time $8,248* You may qualify for fee-free study under the Fees Free Policy Level 7 Available for International Students. International Fee Guideline Hamilton City Campus Summary This programme is for those with a degree in another subject who want to progress their career into accounting.Students will learn the theory and practice of accountancy, critical thinking, decision-making, and business analysis. The course also includes financial reports and business tax regulations. Before completing their study, students will complete an accounting project for a real business as their final assignment.To enrol in this programme potential students will need to demonst</x:v>
      </x:c>
      <x:c r="S216" s="52" t="str">
        <x:v>Candidates who have English as a second language are required to have an International English Language Test System (IELTS) score of 6.0, with no individual band score lower than 5.5; or equivalent, or PTE: (Academic) score of 50 with no band score lower than 42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x:v>
      </x:c>
      <x:c r="T216" s="52"/>
      <x:c r="U216" s="52" t="str">
        <x:v>No programme-specific international scholarship confirmed on the live page.</x:v>
      </x:c>
      <x:c r="V216" s="58" t="str">
        <x:v>https://www.wintec.ac.nz/study-at-wintec/courses/business/graduate-diploma-in-accounting</x:v>
      </x:c>
      <x:c r="W216" s="58" t="str">
        <x:v>https://www.wintec.ac.nz/international</x:v>
      </x:c>
      <x:c r="X216" s="52" t="str">
        <x:v>2026-07-29</x:v>
      </x:c>
      <x:c r="Y216" s="52" t="str">
        <x:v>Double-checked: live programme page + official international source</x:v>
      </x:c>
      <x:c r="Z216" s="52" t="str">
        <x:v>Domestic fee shown elsewhere on the page is ignored; international fee guideline controls this field.</x:v>
      </x:c>
      <x:c r="AA216" s="52"/>
      <x:c r="AB216" s="52" t="str">
        <x:v>Published by provider</x:v>
      </x:c>
      <x:c r="AC216" s="53" t="str">
        <x:v>Feb 2027</x:v>
      </x:c>
    </x:row>
    <x:row r="217" ht="48" customHeight="1">
      <x:c r="A217" s="45" t="str">
        <x:v>Waikato Institute of Technology</x:v>
      </x:c>
      <x:c r="B217" s="46" t="str">
        <x:v>Wintec</x:v>
      </x:c>
      <x:c r="C217" s="46" t="str">
        <x:v>Business &amp; Management</x:v>
      </x:c>
      <x:c r="D217" s="46" t="str">
        <x:v>Graduate Diploma in Human Resource Management</x:v>
      </x:c>
      <x:c r="E217" s="46"/>
      <x:c r="F217" s="46" t="n">
        <x:v>7</x:v>
      </x:c>
      <x:c r="G217" s="46" t="str">
        <x:v>Graduate Diploma</x:v>
      </x:c>
      <x:c r="H217" s="46" t="str">
        <x:v>On campus / in-person (may include blended components)</x:v>
      </x:c>
      <x:c r="I217" s="46" t="str">
        <x:v>Yes — provider publishes international/on-campus availability</x:v>
      </x:c>
      <x:c r="J217" s="46" t="str">
        <x:v>Hamilton City Campus</x:v>
      </x:c>
      <x:c r="K217" s="46" t="str">
        <x:v>One year Full-time or Part-time</x:v>
      </x:c>
      <x:c r="L217" s="46"/>
      <x:c r="M217" s="46" t="str">
        <x:v>Feb 2027</x:v>
      </x:c>
      <x:c r="N217" s="46" t="str">
        <x:v>$26,600</x:v>
      </x:c>
      <x:c r="O217" s="46" t="str">
        <x:v>2026 international fees flyer</x:v>
      </x:c>
      <x:c r="P217" s="46" t="str">
        <x:v>2026</x:v>
      </x:c>
      <x:c r="Q217" s="46" t="str">
        <x:v>Not published; 2026 fee shown only</x:v>
      </x:c>
      <x:c r="R217" s="46" t="str">
        <x:v>Pathways Your First Day Prospectus (Course Guide) Portfolio Need Help? Course details Jul 2026 Feb 2027 One year Full-time or Part-time $8,248* You may qualify for fee-free study under the Fees Free Policy Level 7 Available for International Students. International Fee Guideline Hamilton City Campus Summary This programme is for those with a degree in another subject who want to progress their career into human resource management. Students will develop specialist skills in staff management, recruitment, employee performance, employee up-skilling and development, and conflict resolution. This programme includes a work placement and research project. What you will learnAll modules in the Graduate Diploma in Human Resource Management are compulsory. Students will study eight modules in total</x:v>
      </x:c>
      <x:c r="S217" s="46" t="str">
        <x:v>Candidates who have English as a second language are required to have an International English Language Test System (IELTS) score of 6.0, with no individual band score lower than 5.5; or equivalent, or PTE: (Academic) score of 50 with no band score lower than 42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x:v>
      </x:c>
      <x:c r="T217" s="46"/>
      <x:c r="U217" s="46" t="str">
        <x:v>No programme-specific international scholarship confirmed on the live page.</x:v>
      </x:c>
      <x:c r="V217" s="59" t="str">
        <x:v>https://www.wintec.ac.nz/study-at-wintec/courses/business/graduate-diploma-in-human-resource-management</x:v>
      </x:c>
      <x:c r="W217" s="59" t="str">
        <x:v>https://www.wintec.ac.nz/international</x:v>
      </x:c>
      <x:c r="X217" s="46" t="str">
        <x:v>2026-07-29</x:v>
      </x:c>
      <x:c r="Y217" s="46" t="str">
        <x:v>Double-checked: live programme page + official international source</x:v>
      </x:c>
      <x:c r="Z217" s="46" t="str">
        <x:v>Domestic fee shown elsewhere on the page is ignored; international fee guideline controls this field.</x:v>
      </x:c>
      <x:c r="AA217" s="46"/>
      <x:c r="AB217" s="46" t="str">
        <x:v>Published by provider</x:v>
      </x:c>
      <x:c r="AC217" s="47" t="str">
        <x:v>Feb 2027</x:v>
      </x:c>
    </x:row>
    <x:row r="218" ht="48" customHeight="1">
      <x:c r="A218" s="51" t="str">
        <x:v>Waikato Institute of Technology</x:v>
      </x:c>
      <x:c r="B218" s="52" t="str">
        <x:v>Wintec</x:v>
      </x:c>
      <x:c r="C218" s="52" t="str">
        <x:v>Business &amp; Management</x:v>
      </x:c>
      <x:c r="D218" s="52" t="str">
        <x:v>Graduate Diploma in Operations and Production Management</x:v>
      </x:c>
      <x:c r="E218" s="52"/>
      <x:c r="F218" s="52" t="n">
        <x:v>7</x:v>
      </x:c>
      <x:c r="G218" s="52" t="str">
        <x:v>Graduate Diploma</x:v>
      </x:c>
      <x:c r="H218" s="52" t="str">
        <x:v>On campus / in-person (may include blended components)</x:v>
      </x:c>
      <x:c r="I218" s="52" t="str">
        <x:v>Yes — provider publishes international/on-campus availability</x:v>
      </x:c>
      <x:c r="J218" s="52" t="str">
        <x:v>Hamilton City Campus</x:v>
      </x:c>
      <x:c r="K218" s="52" t="str">
        <x:v>One year Full-time or Part-time</x:v>
      </x:c>
      <x:c r="L218" s="52"/>
      <x:c r="M218" s="52" t="str">
        <x:v>Feb 2027</x:v>
      </x:c>
      <x:c r="N218" s="52" t="str">
        <x:v>$26,600</x:v>
      </x:c>
      <x:c r="O218" s="52" t="str">
        <x:v>2026 international fees flyer</x:v>
      </x:c>
      <x:c r="P218" s="52" t="str">
        <x:v>2026</x:v>
      </x:c>
      <x:c r="Q218" s="52" t="str">
        <x:v>Not published; 2026 fee shown only</x:v>
      </x:c>
      <x:c r="R218" s="52" t="str">
        <x:v>Pathways Your First Day Prospectus (Course Guide) Portfolio Need Help? Course details Jul 2026 Feb 2027 One year Full-time or Part-time $8,248* You may qualify for fee-free study under the Fees Free Policy Level 7 Available for International Students. International Fee Guideline Hamilton City Campus Please note that this course is not currently available. If you are interested in future availability, please complete the Expression of Interest Form, and we will be in touch. Summary This programme is for those with a degree in another subject who want to progress their career into operations management. Students will develop specialist skills in analysis and logistics to plan and implement production efficiencies. This programme includes a work placement and research project. What you will l</x:v>
      </x:c>
      <x:c r="S218" s="52" t="str">
        <x:v>Candidates who have English as a second language are required to have an International English Language Test System (IELTS) score of 6.0, with no individual band score lower than 5.5; or equivalent, or PTE: (Academic) score of 50 with no band score lower than 42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x:v>
      </x:c>
      <x:c r="T218" s="52"/>
      <x:c r="U218" s="52" t="str">
        <x:v>No programme-specific international scholarship confirmed on the live page.</x:v>
      </x:c>
      <x:c r="V218" s="58" t="str">
        <x:v>https://www.wintec.ac.nz/study-at-wintec/courses/business/graduate-diploma-in-operations-and-production-management</x:v>
      </x:c>
      <x:c r="W218" s="58" t="str">
        <x:v>https://www.wintec.ac.nz/international</x:v>
      </x:c>
      <x:c r="X218" s="52" t="str">
        <x:v>2026-07-29</x:v>
      </x:c>
      <x:c r="Y218" s="52" t="str">
        <x:v>Double-checked: live programme page + official international source</x:v>
      </x:c>
      <x:c r="Z218" s="52" t="str">
        <x:v>Domestic fee shown elsewhere on the page is ignored; international fee guideline controls this field.</x:v>
      </x:c>
      <x:c r="AA218" s="52"/>
      <x:c r="AB218" s="52" t="str">
        <x:v>Published by provider</x:v>
      </x:c>
      <x:c r="AC218" s="53" t="str">
        <x:v>Feb 2027</x:v>
      </x:c>
    </x:row>
    <x:row r="219" ht="48" customHeight="1">
      <x:c r="A219" s="45" t="str">
        <x:v>Waikato Institute of Technology</x:v>
      </x:c>
      <x:c r="B219" s="46" t="str">
        <x:v>Wintec</x:v>
      </x:c>
      <x:c r="C219" s="46" t="str">
        <x:v>Business &amp; Management</x:v>
      </x:c>
      <x:c r="D219" s="46" t="str">
        <x:v>Graduate Diploma in Strategic Management</x:v>
      </x:c>
      <x:c r="E219" s="46"/>
      <x:c r="F219" s="46" t="n">
        <x:v>7</x:v>
      </x:c>
      <x:c r="G219" s="46" t="str">
        <x:v>Graduate Diploma</x:v>
      </x:c>
      <x:c r="H219" s="46" t="str">
        <x:v>On campus / in-person (may include blended components)</x:v>
      </x:c>
      <x:c r="I219" s="46" t="str">
        <x:v>Yes — provider publishes international/on-campus availability</x:v>
      </x:c>
      <x:c r="J219" s="46" t="str">
        <x:v>Hamilton City Campus</x:v>
      </x:c>
      <x:c r="K219" s="46" t="str">
        <x:v>One year Full-time or Part-time</x:v>
      </x:c>
      <x:c r="L219" s="46"/>
      <x:c r="M219" s="46" t="str">
        <x:v>Feb 2027</x:v>
      </x:c>
      <x:c r="N219" s="46" t="str">
        <x:v>$26,600</x:v>
      </x:c>
      <x:c r="O219" s="46" t="str">
        <x:v>2026 international fees flyer</x:v>
      </x:c>
      <x:c r="P219" s="46" t="str">
        <x:v>2026</x:v>
      </x:c>
      <x:c r="Q219" s="46" t="str">
        <x:v>Not published; 2026 fee shown only</x:v>
      </x:c>
      <x:c r="R219" s="46" t="str">
        <x:v>Pathways Your First Day Prospectus (Course Guide) Portfolio Need Help? Course details Jul 2026 Feb 2027 One year Full-time or Part-time $8,248* You may qualify for fee-free study under the Fees Free Policy Level 7 Available for International Students. International Fee Guideline Hamilton City Campus Summary This programme is for those with a degree in another subject who want to progress into management and business strategy positions. Students will develop specialist skills in business strategy, analytics, and strategic thinking. This programme includes a work placement and research project. What you will learnAll modules in this programme are compulsory. Students will study eight modules in total – five focused on strategic management subjects such as marketing management, leadership, st</x:v>
      </x:c>
      <x:c r="S219" s="46" t="str">
        <x:v>Candidates who have English as a second language are required to have an International English Language Test System (IELTS) score of 6.0, with no individual band score lower than 5.5; or equivalent, or PTE: (Academic) score of 50 with no band score lower than 42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x:v>
      </x:c>
      <x:c r="T219" s="46"/>
      <x:c r="U219" s="46" t="str">
        <x:v>No programme-specific international scholarship confirmed on the live page.</x:v>
      </x:c>
      <x:c r="V219" s="59" t="str">
        <x:v>https://www.wintec.ac.nz/study-at-wintec/courses/business/graduate-diploma-in-strategic-management</x:v>
      </x:c>
      <x:c r="W219" s="59" t="str">
        <x:v>https://www.wintec.ac.nz/international</x:v>
      </x:c>
      <x:c r="X219" s="46" t="str">
        <x:v>2026-07-29</x:v>
      </x:c>
      <x:c r="Y219" s="46" t="str">
        <x:v>Double-checked: live programme page + official international source</x:v>
      </x:c>
      <x:c r="Z219" s="46" t="str">
        <x:v>Domestic fee shown elsewhere on the page is ignored; international fee guideline controls this field.</x:v>
      </x:c>
      <x:c r="AA219" s="46"/>
      <x:c r="AB219" s="46" t="str">
        <x:v>Published by provider</x:v>
      </x:c>
      <x:c r="AC219" s="47" t="str">
        <x:v>Feb 2027</x:v>
      </x:c>
    </x:row>
    <x:row r="220" ht="48" customHeight="1">
      <x:c r="A220" s="51" t="str">
        <x:v>Waikato Institute of Technology</x:v>
      </x:c>
      <x:c r="B220" s="52" t="str">
        <x:v>Wintec</x:v>
      </x:c>
      <x:c r="C220" s="52" t="str">
        <x:v>Business &amp; Management</x:v>
      </x:c>
      <x:c r="D220" s="52" t="str">
        <x:v>Graduate Diploma in Supply Chain Logistics</x:v>
      </x:c>
      <x:c r="E220" s="52"/>
      <x:c r="F220" s="52" t="n">
        <x:v>7</x:v>
      </x:c>
      <x:c r="G220" s="52" t="str">
        <x:v>Graduate Diploma</x:v>
      </x:c>
      <x:c r="H220" s="52" t="str">
        <x:v>On campus / in-person (may include blended components)</x:v>
      </x:c>
      <x:c r="I220" s="52" t="str">
        <x:v>Yes — provider publishes international/on-campus availability</x:v>
      </x:c>
      <x:c r="J220" s="52" t="str">
        <x:v>Hamilton City Campus</x:v>
      </x:c>
      <x:c r="K220" s="52" t="str">
        <x:v>One year Full-time or Part-time</x:v>
      </x:c>
      <x:c r="L220" s="52"/>
      <x:c r="M220" s="52" t="str">
        <x:v>Feb 2027</x:v>
      </x:c>
      <x:c r="N220" s="52" t="str">
        <x:v>$26,600</x:v>
      </x:c>
      <x:c r="O220" s="52" t="str">
        <x:v>2026 international fees flyer</x:v>
      </x:c>
      <x:c r="P220" s="52" t="str">
        <x:v>2026</x:v>
      </x:c>
      <x:c r="Q220" s="52" t="str">
        <x:v>Not published; 2026 fee shown only</x:v>
      </x:c>
      <x:c r="R220" s="52" t="str">
        <x:v>Pathways Your First Day Prospectus (Course Guide) Portfolio Need Help? Course details Jul 2026 Feb 2027 One year Full-time or Part-time $8,248* Level 7 Available for International Students. International Fee Guideline Hamilton City Campus Summary Supply Chain Logistics explores how to recognise, analyse and solve global logistics and supply chain issues. This moves beyond the logistics of production &amp; engineering into the broader range of activities that effectively links suppliers, distributors, manufacturers, wholesalers and retailers to end-users. This programme is for those with a degree in another subject who want to progress into supply chain and logistical management positions. This programme includes a work placement and research project. What you will learnCore studies include lea</x:v>
      </x:c>
      <x:c r="S220" s="52" t="str">
        <x:v>Candidates who have English as a second language are required to have an International English Language Test System (IELTS) score of 6.0, with no individual band score lower than 5.5; or equivalent, or PTE: (Academic) score of 50 with no band score lower than 42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x:v>
      </x:c>
      <x:c r="T220" s="52"/>
      <x:c r="U220" s="52" t="str">
        <x:v>No programme-specific international scholarship confirmed on the live page.</x:v>
      </x:c>
      <x:c r="V220" s="58" t="str">
        <x:v>https://www.wintec.ac.nz/study-at-wintec/courses/business/graduate-diploma-in-supply-chain-logistics</x:v>
      </x:c>
      <x:c r="W220" s="58" t="str">
        <x:v>https://www.wintec.ac.nz/international</x:v>
      </x:c>
      <x:c r="X220" s="52" t="str">
        <x:v>2026-07-29</x:v>
      </x:c>
      <x:c r="Y220" s="52" t="str">
        <x:v>Double-checked: live programme page + official international source</x:v>
      </x:c>
      <x:c r="Z220" s="52" t="str">
        <x:v>Domestic fee shown elsewhere on the page is ignored; international fee guideline controls this field.</x:v>
      </x:c>
      <x:c r="AA220" s="52"/>
      <x:c r="AB220" s="52" t="str">
        <x:v>Published by provider</x:v>
      </x:c>
      <x:c r="AC220" s="53" t="str">
        <x:v>Feb 2027</x:v>
      </x:c>
    </x:row>
    <x:row r="221" ht="48" customHeight="1">
      <x:c r="A221" s="45" t="str">
        <x:v>Waikato Institute of Technology</x:v>
      </x:c>
      <x:c r="B221" s="46" t="str">
        <x:v>Wintec</x:v>
      </x:c>
      <x:c r="C221" s="46" t="str">
        <x:v>Business &amp; Management</x:v>
      </x:c>
      <x:c r="D221" s="46" t="str">
        <x:v>New Zealand Diploma in Business (Level 5)</x:v>
      </x:c>
      <x:c r="E221" s="46"/>
      <x:c r="F221" s="46" t="n">
        <x:v>5</x:v>
      </x:c>
      <x:c r="G221" s="46" t="str">
        <x:v>Diploma</x:v>
      </x:c>
      <x:c r="H221" s="46" t="str">
        <x:v>On campus / in-person (may include blended components)</x:v>
      </x:c>
      <x:c r="I221" s="46" t="str">
        <x:v>Yes — provider publishes international/on-campus availability</x:v>
      </x:c>
      <x:c r="J221" s="46" t="str">
        <x:v>Hamilton City Campus</x:v>
      </x:c>
      <x:c r="K221" s="46" t="str">
        <x:v>One year Full-time or Part-time</x:v>
      </x:c>
      <x:c r="L221" s="46"/>
      <x:c r="M221" s="46" t="str">
        <x:v>Feb 2027</x:v>
      </x:c>
      <x:c r="N221" s="46" t="str">
        <x:v>$26,600</x:v>
      </x:c>
      <x:c r="O221" s="46" t="str">
        <x:v>2026 international fees flyer</x:v>
      </x:c>
      <x:c r="P221" s="46" t="str">
        <x:v>2026</x:v>
      </x:c>
      <x:c r="Q221" s="46" t="str">
        <x:v>Not published; 2026 fee shown only</x:v>
      </x:c>
      <x:c r="R221" s="46" t="str">
        <x:v>Pathways Your First Day Prospectus (Course Guide) Portfolio Need Help? Course details Jul 2026 Feb 2027 One year Full-time or Part-time $8,248* You may qualify for fee-free study under the Fees Free Policy Level 5 Available for International Students. International Fee Guideline Hamilton City Campus Summary Elevate your business career and broaden your business knowledge by understanding the theories, practices and principles while gaining role-specific skills in a chosen strand. This industry-relevant programme will develop your work-ready skills, teaching you to think conceptually and adapt to change. Before focusing on one of the two strands below, you will cover four core modules that apply to various operational business contexts.Core modules cover the principles and practices of mark</x:v>
      </x:c>
      <x:c r="S221" s="46" t="str">
        <x:v>IELTS) Academic band score of 5.5, with no individual band score lower than 5.0 from one test taken in the last two years, or PTE (Academic) score of 42 with no band score lower than 36</x:v>
      </x:c>
      <x:c r="T221" s="46"/>
      <x:c r="U221" s="46" t="str">
        <x:v>No programme-specific international scholarship confirmed on the live page.</x:v>
      </x:c>
      <x:c r="V221" s="59" t="str">
        <x:v>https://www.wintec.ac.nz/study-at-wintec/courses/business/new-zealand-diploma-in-business-(level-5)</x:v>
      </x:c>
      <x:c r="W221" s="59" t="str">
        <x:v>https://www.wintec.ac.nz/international</x:v>
      </x:c>
      <x:c r="X221" s="46" t="str">
        <x:v>2026-07-29</x:v>
      </x:c>
      <x:c r="Y221" s="46" t="str">
        <x:v>Double-checked: live programme page + official international source</x:v>
      </x:c>
      <x:c r="Z221" s="46" t="str">
        <x:v>Domestic fee shown elsewhere on the page is ignored; international fee guideline controls this field.</x:v>
      </x:c>
      <x:c r="AA221" s="46"/>
      <x:c r="AB221" s="46" t="str">
        <x:v>Published by provider</x:v>
      </x:c>
      <x:c r="AC221" s="47" t="str">
        <x:v>Feb 2027</x:v>
      </x:c>
    </x:row>
    <x:row r="222" ht="48" customHeight="1">
      <x:c r="A222" s="51" t="str">
        <x:v>Waikato Institute of Technology</x:v>
      </x:c>
      <x:c r="B222" s="52" t="str">
        <x:v>Wintec</x:v>
      </x:c>
      <x:c r="C222" s="52" t="str">
        <x:v>Business &amp; Management</x:v>
      </x:c>
      <x:c r="D222" s="52" t="str">
        <x:v>Bachelor of Accounting</x:v>
      </x:c>
      <x:c r="E222" s="52"/>
      <x:c r="F222" s="52" t="n">
        <x:v>4</x:v>
      </x:c>
      <x:c r="G222" s="52" t="str">
        <x:v>Bachelor's Degree</x:v>
      </x:c>
      <x:c r="H222" s="52" t="str">
        <x:v>On campus / in-person (may include blended components)</x:v>
      </x:c>
      <x:c r="I222" s="52" t="str">
        <x:v>Yes — provider publishes international/on-campus availability</x:v>
      </x:c>
      <x:c r="J222" s="52" t="str">
        <x:v>Hamilton City Campus</x:v>
      </x:c>
      <x:c r="K222" s="52" t="str">
        <x:v>Three years Full-time or Part-time</x:v>
      </x:c>
      <x:c r="L222" s="52"/>
      <x:c r="M222" s="52" t="str">
        <x:v>Feb 2027</x:v>
      </x:c>
      <x:c r="N222" s="52" t="str">
        <x:v>$26,600</x:v>
      </x:c>
      <x:c r="O222" s="52" t="str">
        <x:v>2026 international fees flyer</x:v>
      </x:c>
      <x:c r="P222" s="52" t="str">
        <x:v>2026</x:v>
      </x:c>
      <x:c r="Q222" s="52" t="str">
        <x:v>Not published; 2026 fee shown only</x:v>
      </x:c>
      <x:c r="R222" s="52" t="str">
        <x:v>Pathways Your First Day Prospectus (Course Guide) Portfolio Need Help? Course details Jul 2026 Feb 2027 Three years Full-time or Part-time $8,248* per year You may qualify for fee-free study under the Fees Free Policy Level 7 Available for International Students. International Fee Guideline Hamilton City Campus Summary Build on your interest in numbers and gain the skills to become an accounting professional. Accounting is the financial language of measuring, interpreting and communicating financial information for businesses and organisations. Accountants are in demand in Aotearoa, New Zealand and worldwide, with good prospects to advance your career. The Bachelor of Accounting will equip you with the theory and practice of accountancy in an ethical, socially responsible and sustainable w</x:v>
      </x:c>
      <x:c r="S222" s="52" t="str">
        <x:v>Candidates who have English as a second language are required to have an International English Language Test System (IELTS) score of 6.0, with no individual band score lower than 5.5; or equivalent, or PTE: (Academic) score of 50 with no band score lower than 42 or NZCEL: Level 4 (Academic) Click the button below to see full details of the entry criteria. VIEW PROGRAMME REGULATIONS Do you not meet the entry criteria or need more information? CONTACT US Pathways To check what you need to gain direct entry to a course, review the entry criteria available on each programme page. These assist you in understanding what qualifications or experience</x:v>
      </x:c>
      <x:c r="T222" s="52"/>
      <x:c r="U222" s="52" t="str">
        <x:v>No programme-specific international scholarship confirmed on the live page.</x:v>
      </x:c>
      <x:c r="V222" s="58" t="str">
        <x:v>https://www.wintec.ac.nz/study-at-wintec/courses/business/bachelor-of-accounting</x:v>
      </x:c>
      <x:c r="W222" s="58" t="str">
        <x:v>https://www.wintec.ac.nz/international</x:v>
      </x:c>
      <x:c r="X222" s="52" t="str">
        <x:v>2026-07-29</x:v>
      </x:c>
      <x:c r="Y222" s="52" t="str">
        <x:v>Double-checked: live programme page + official international source</x:v>
      </x:c>
      <x:c r="Z222" s="52" t="str">
        <x:v>Domestic fee shown elsewhere on the page is ignored; international fee guideline controls this field.</x:v>
      </x:c>
      <x:c r="AA222" s="52"/>
      <x:c r="AB222" s="52" t="str">
        <x:v>Published by provider</x:v>
      </x:c>
      <x:c r="AC222" s="53" t="str">
        <x:v>Feb 2027</x:v>
      </x:c>
    </x:row>
    <x:row r="223" ht="48" customHeight="1">
      <x:c r="A223" s="45" t="str">
        <x:v>Waikato Institute of Technology</x:v>
      </x:c>
      <x:c r="B223" s="46" t="str">
        <x:v>Wintec</x:v>
      </x:c>
      <x:c r="C223" s="46" t="str">
        <x:v>Computing &amp; IT</x:v>
      </x:c>
      <x:c r="D223" s="46" t="str">
        <x:v>Master of Applied Information Technology</x:v>
      </x:c>
      <x:c r="E223" s="46"/>
      <x:c r="F223" s="46" t="n">
        <x:v>9</x:v>
      </x:c>
      <x:c r="G223" s="46" t="str">
        <x:v>Master's Degree</x:v>
      </x:c>
      <x:c r="H223" s="46" t="str">
        <x:v>On campus / in-person (may include blended components)</x:v>
      </x:c>
      <x:c r="I223" s="46" t="str">
        <x:v>Yes — provider publishes international/on-campus availability</x:v>
      </x:c>
      <x:c r="J223" s="46" t="str">
        <x:v>Hamilton City Campus</x:v>
      </x:c>
      <x:c r="K223" s="46" t="str">
        <x:v>18 months Full-time or Part-time</x:v>
      </x:c>
      <x:c r="L223" s="46"/>
      <x:c r="M223" s="46" t="str">
        <x:v>Feb 2027</x:v>
      </x:c>
      <x:c r="N223" s="46" t="str">
        <x:v>$27,467</x:v>
      </x:c>
      <x:c r="O223" s="46" t="str">
        <x:v>2026 international fees flyer</x:v>
      </x:c>
      <x:c r="P223" s="46" t="str">
        <x:v>2026</x:v>
      </x:c>
      <x:c r="Q223" s="46" t="str">
        <x:v>Not published; 2026 fee shown only</x:v>
      </x:c>
      <x:c r="R223" s="46" t="str">
        <x:v>Pathways Your First Day Prospectus (Course Guide) Portfolio Need Help? Course details Jul 2026 Feb 2027 18 months Full-time or Part-time $9,019* first year You may qualify for fee-free study under the Fees Free Policy Level 9 Available for International Students. International Fee Guideline Hamilton City Campus Summary The Master of Applied Information Technology enables students to undertake an extended study programme in their specialised information technology field. It requires 180 credits and has two pathways:The thesis pathway is a research-based master's programme. It includes a 90-credit level 9 thesis module and aims to prepare students for further studies, such as a doctorate.The research project pathway is considered to be a coursework-based master's programme. It includes a 45-</x:v>
      </x:c>
      <x:c r="S223" s="46" t="str">
        <x:v>Candidates who have English as a second language are required to have an International English Language Test System (IELTS) score of 6.5 in the academic band, with no individual band score lower than 6.0;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x:v>
      </x:c>
      <x:c r="T223" s="46"/>
      <x:c r="U223" s="46" t="str">
        <x:v>No programme-specific international scholarship confirmed on the live page.</x:v>
      </x:c>
      <x:c r="V223" s="59" t="str">
        <x:v>https://www.wintec.ac.nz/study-at-wintec/courses/information-technology/master-of-applied-information-technology-(level-9)</x:v>
      </x:c>
      <x:c r="W223" s="59" t="str">
        <x:v>https://www.wintec.ac.nz/international</x:v>
      </x:c>
      <x:c r="X223" s="46" t="str">
        <x:v>2026-07-29</x:v>
      </x:c>
      <x:c r="Y223" s="46" t="str">
        <x:v>Double-checked: live programme page + official international source</x:v>
      </x:c>
      <x:c r="Z223" s="46" t="str">
        <x:v>Domestic fee shown elsewhere on the page is ignored; international fee guideline controls this field.</x:v>
      </x:c>
      <x:c r="AA223" s="46"/>
      <x:c r="AB223" s="46" t="str">
        <x:v>Published by provider</x:v>
      </x:c>
      <x:c r="AC223" s="47" t="str">
        <x:v>Feb 2027</x:v>
      </x:c>
    </x:row>
    <x:row r="224" ht="48" customHeight="1">
      <x:c r="A224" s="51" t="str">
        <x:v>Waikato Institute of Technology</x:v>
      </x:c>
      <x:c r="B224" s="52" t="str">
        <x:v>Wintec</x:v>
      </x:c>
      <x:c r="C224" s="52" t="str">
        <x:v>Computing &amp; IT</x:v>
      </x:c>
      <x:c r="D224" s="52" t="str">
        <x:v>Postgraduate Certificate in Applied Information Technology</x:v>
      </x:c>
      <x:c r="E224" s="52"/>
      <x:c r="F224" s="52" t="n">
        <x:v>8</x:v>
      </x:c>
      <x:c r="G224" s="52" t="str">
        <x:v>Postgraduate Certificate</x:v>
      </x:c>
      <x:c r="H224" s="52" t="str">
        <x:v>On campus / in-person (may include blended components)</x:v>
      </x:c>
      <x:c r="I224" s="52" t="str">
        <x:v>Yes — provider publishes international/on-campus availability</x:v>
      </x:c>
      <x:c r="J224" s="52" t="str">
        <x:v>Hamilton City Campus</x:v>
      </x:c>
      <x:c r="K224" s="52" t="str">
        <x:v>One semester Full-time or Part-time</x:v>
      </x:c>
      <x:c r="L224" s="52"/>
      <x:c r="M224" s="52" t="str">
        <x:v>Feb 2027</x:v>
      </x:c>
      <x:c r="N224" s="52" t="str">
        <x:v>$14,600 for 6 months</x:v>
      </x:c>
      <x:c r="O224" s="52" t="str">
        <x:v>2026 international fees flyer</x:v>
      </x:c>
      <x:c r="P224" s="52" t="str">
        <x:v>2026</x:v>
      </x:c>
      <x:c r="Q224" s="52" t="str">
        <x:v>Not published; 2026 fee shown only</x:v>
      </x:c>
      <x:c r="R224" s="52" t="str">
        <x:v>Pathways Your First Day Prospectus (Course Guide) Portfolio Need Help? Course details Jul 2026 Feb 2027 One semester Full-time or Part-time $4,509* You may qualify for fee-free study under the Fees Free Policy Level 8 Available for International Students. International Fee Guideline Hamilton City Campus Summary The Postgraduate Certificate in Applied Information Technology has been developed in close consultation with industry to enable students to build on their technical skillset. It allows students to undertake a short programme of study to upgrade their qualifications as well as amplify and update their information technology knowledge and skills. View programme modules Group A: Compulsory moduleModule code Module name LevelCredits Pre-requisites Co-requisites INFO801Project Management</x:v>
      </x:c>
      <x:c r="S224" s="52" t="str">
        <x:v>Candidates who have English as a second language are required to have an International English Language Test System (IELTS) score of 6.5 in the academic band, with no individual band score lower than 6.0;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x:v>
      </x:c>
      <x:c r="T224" s="52"/>
      <x:c r="U224" s="52" t="str">
        <x:v>No programme-specific international scholarship confirmed on the live page.</x:v>
      </x:c>
      <x:c r="V224" s="58" t="str">
        <x:v>https://www.wintec.ac.nz/study-at-wintec/courses/information-technology/postgraduate-certificate-in-applied-information-technology-(level-8)</x:v>
      </x:c>
      <x:c r="W224" s="58" t="str">
        <x:v>https://www.wintec.ac.nz/international</x:v>
      </x:c>
      <x:c r="X224" s="52" t="str">
        <x:v>2026-07-29</x:v>
      </x:c>
      <x:c r="Y224" s="52" t="str">
        <x:v>Double-checked: live programme page + official international source</x:v>
      </x:c>
      <x:c r="Z224" s="52" t="str">
        <x:v>Domestic fee shown elsewhere on the page is ignored; international fee guideline controls this field.</x:v>
      </x:c>
      <x:c r="AA224" s="52"/>
      <x:c r="AB224" s="52" t="str">
        <x:v>Published by provider</x:v>
      </x:c>
      <x:c r="AC224" s="53" t="str">
        <x:v>Feb 2027</x:v>
      </x:c>
    </x:row>
    <x:row r="225" ht="48" customHeight="1">
      <x:c r="A225" s="45" t="str">
        <x:v>Waikato Institute of Technology</x:v>
      </x:c>
      <x:c r="B225" s="46" t="str">
        <x:v>Wintec</x:v>
      </x:c>
      <x:c r="C225" s="46" t="str">
        <x:v>Computing &amp; IT</x:v>
      </x:c>
      <x:c r="D225" s="46" t="str">
        <x:v>Postgraduate Diploma in Applied Information Technology</x:v>
      </x:c>
      <x:c r="E225" s="46"/>
      <x:c r="F225" s="46" t="n">
        <x:v>8</x:v>
      </x:c>
      <x:c r="G225" s="46" t="str">
        <x:v>Postgraduate Diploma</x:v>
      </x:c>
      <x:c r="H225" s="46" t="str">
        <x:v>On campus / in-person (may include blended components)</x:v>
      </x:c>
      <x:c r="I225" s="46" t="str">
        <x:v>Yes — provider publishes international/on-campus availability</x:v>
      </x:c>
      <x:c r="J225" s="46" t="str">
        <x:v>Hamilton City Campus</x:v>
      </x:c>
      <x:c r="K225" s="46" t="str">
        <x:v>One year Full-time or Part-time</x:v>
      </x:c>
      <x:c r="L225" s="46"/>
      <x:c r="M225" s="46" t="str">
        <x:v>Feb 2027</x:v>
      </x:c>
      <x:c r="N225" s="46" t="str">
        <x:v>$29,200</x:v>
      </x:c>
      <x:c r="O225" s="46" t="str">
        <x:v>2026 international fees flyer</x:v>
      </x:c>
      <x:c r="P225" s="46" t="str">
        <x:v>2026</x:v>
      </x:c>
      <x:c r="Q225" s="46" t="str">
        <x:v>Not published; 2026 fee shown only</x:v>
      </x:c>
      <x:c r="R225" s="46" t="str">
        <x:v>Pathways Your First Day Prospectus (Course Guide) Portfolio Need Help? Course details Jul 2026 Feb 2027 One year Full-time or Part-time $9,019* You may qualify for fee-free study under the Fees Free Policy Level 8 Available for International Students. International Fee Guideline Hamilton City Campus Summary The Postgraduate Diploma in Applied Information Technology enables students to undertake an advanced programme of study, covering a wide range of areas to further their academic subject area knowledge of information technology and research skills to obtain employment or advance their careers. View programme modules Group A: Compulsory modulesModule code Module name LevelCredits Pre-requisites Co-requisites INFO801Project Management for Information Technology815 INFO802Research in Inform</x:v>
      </x:c>
      <x:c r="S225" s="46" t="str">
        <x:v>Candidates who have English as a second language are required to have an International English Language Test System (IELTS) score of 6.5 in the academic band, with no individual band score lower than 6.0;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x:v>
      </x:c>
      <x:c r="T225" s="46"/>
      <x:c r="U225" s="46" t="str">
        <x:v>No programme-specific international scholarship confirmed on the live page.</x:v>
      </x:c>
      <x:c r="V225" s="59" t="str">
        <x:v>https://www.wintec.ac.nz/study-at-wintec/courses/information-technology/postgraduate-diploma-in-applied-information-technology-(level-8)</x:v>
      </x:c>
      <x:c r="W225" s="59" t="str">
        <x:v>https://www.wintec.ac.nz/international</x:v>
      </x:c>
      <x:c r="X225" s="46" t="str">
        <x:v>2026-07-29</x:v>
      </x:c>
      <x:c r="Y225" s="46" t="str">
        <x:v>Double-checked: live programme page + official international source</x:v>
      </x:c>
      <x:c r="Z225" s="46" t="str">
        <x:v>Domestic fee shown elsewhere on the page is ignored; international fee guideline controls this field.</x:v>
      </x:c>
      <x:c r="AA225" s="46"/>
      <x:c r="AB225" s="46" t="str">
        <x:v>Published by provider</x:v>
      </x:c>
      <x:c r="AC225" s="47" t="str">
        <x:v>Feb 2027</x:v>
      </x:c>
    </x:row>
    <x:row r="226" ht="48" customHeight="1">
      <x:c r="A226" s="51" t="str">
        <x:v>Waikato Institute of Technology</x:v>
      </x:c>
      <x:c r="B226" s="52" t="str">
        <x:v>Wintec</x:v>
      </x:c>
      <x:c r="C226" s="52" t="str">
        <x:v>Computing &amp; IT</x:v>
      </x:c>
      <x:c r="D226" s="52" t="str">
        <x:v>Graduate Diploma in Applied Information Technology</x:v>
      </x:c>
      <x:c r="E226" s="52"/>
      <x:c r="F226" s="52" t="n">
        <x:v>7</x:v>
      </x:c>
      <x:c r="G226" s="52" t="str">
        <x:v>Graduate Diploma</x:v>
      </x:c>
      <x:c r="H226" s="52" t="str">
        <x:v>On campus / in-person (may include blended components)</x:v>
      </x:c>
      <x:c r="I226" s="52" t="str">
        <x:v>Yes — provider publishes international/on-campus availability</x:v>
      </x:c>
      <x:c r="J226" s="52" t="str">
        <x:v>Hamilton City Campus</x:v>
      </x:c>
      <x:c r="K226" s="52" t="str">
        <x:v>One year Full-time or Part-time</x:v>
      </x:c>
      <x:c r="L226" s="52"/>
      <x:c r="M226" s="52" t="str">
        <x:v>Feb 2027</x:v>
      </x:c>
      <x:c r="N226" s="52" t="str">
        <x:v>$26,600</x:v>
      </x:c>
      <x:c r="O226" s="52" t="str">
        <x:v>2026 international fees flyer</x:v>
      </x:c>
      <x:c r="P226" s="52" t="str">
        <x:v>2026</x:v>
      </x:c>
      <x:c r="Q226" s="52" t="str">
        <x:v>Not published; 2026 fee shown only</x:v>
      </x:c>
      <x:c r="R226" s="52" t="str">
        <x:v>Pathways Your First Day Prospectus (Course Guide) Portfolio Need Help? Course details Jul 2026 Feb 2027 One year Full-time or Part-time $9,019* You may qualify for fee-free study under the Fees Free Policy Level 7 Available for International Students. International Fee Guideline Hamilton City Campus Summary Students in this programme will learn the knowledge and skills to deliver quality information technology services and develop effective communication skills to support and enhance various organisations and industries.Students can choose to specialise in one of the following specialisations:Network engineeringFor those seeking a career in the field of network engineering, network administration, cyber and network security.Software engineeringFor those seeking a career in software enginee</x:v>
      </x:c>
      <x:c r="S226" s="52" t="str">
        <x:v>Candidates who have English as a second language are required to have an International English Language Test System (IELTS) score of 6.0 with no individual band score lower than 5.5;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f</x:v>
      </x:c>
      <x:c r="T226" s="52"/>
      <x:c r="U226" s="52" t="str">
        <x:v>No programme-specific international scholarship confirmed on the live page.</x:v>
      </x:c>
      <x:c r="V226" s="58" t="str">
        <x:v>https://www.wintec.ac.nz/study-at-wintec/courses/information-technology/graduate-diploma-in-applied-information-technology</x:v>
      </x:c>
      <x:c r="W226" s="58" t="str">
        <x:v>https://www.wintec.ac.nz/international</x:v>
      </x:c>
      <x:c r="X226" s="52" t="str">
        <x:v>2026-07-29</x:v>
      </x:c>
      <x:c r="Y226" s="52" t="str">
        <x:v>Double-checked: live programme page + official international source</x:v>
      </x:c>
      <x:c r="Z226" s="52" t="str">
        <x:v>Domestic fee shown elsewhere on the page is ignored; international fee guideline controls this field.</x:v>
      </x:c>
      <x:c r="AA226" s="52"/>
      <x:c r="AB226" s="52" t="str">
        <x:v>Published by provider</x:v>
      </x:c>
      <x:c r="AC226" s="53" t="str">
        <x:v>Feb 2027</x:v>
      </x:c>
    </x:row>
    <x:row r="227" ht="48" customHeight="1">
      <x:c r="A227" s="45" t="str">
        <x:v>Waikato Institute of Technology</x:v>
      </x:c>
      <x:c r="B227" s="46" t="str">
        <x:v>Wintec</x:v>
      </x:c>
      <x:c r="C227" s="46" t="str">
        <x:v>Computing &amp; IT</x:v>
      </x:c>
      <x:c r="D227" s="46" t="str">
        <x:v>New Zealand Certificate in Information Technology (Level 5)</x:v>
      </x:c>
      <x:c r="E227" s="46"/>
      <x:c r="F227" s="46" t="n">
        <x:v>5</x:v>
      </x:c>
      <x:c r="G227" s="46" t="str">
        <x:v>Certificate</x:v>
      </x:c>
      <x:c r="H227" s="46" t="str">
        <x:v>On campus / in-person (may include blended components)</x:v>
      </x:c>
      <x:c r="I227" s="46" t="str">
        <x:v>Yes — provider publishes international/on-campus availability</x:v>
      </x:c>
      <x:c r="J227" s="46" t="str">
        <x:v>Hamilton City Campus</x:v>
      </x:c>
      <x:c r="K227" s="46" t="str">
        <x:v>One semester Full-time or Part-time</x:v>
      </x:c>
      <x:c r="L227" s="46"/>
      <x:c r="M227" s="46" t="str">
        <x:v>Feb 2027</x:v>
      </x:c>
      <x:c r="N227" s="46" t="str">
        <x:v>$26,600</x:v>
      </x:c>
      <x:c r="O227" s="46" t="str">
        <x:v>2026 international fees flyer</x:v>
      </x:c>
      <x:c r="P227" s="46" t="str">
        <x:v>2026</x:v>
      </x:c>
      <x:c r="Q227" s="46" t="str">
        <x:v>Not published; 2026 fee shown only</x:v>
      </x:c>
      <x:c r="R227" s="46" t="str">
        <x:v>Pathways Your First Day Prospectus (Course Guide) Portfolio Need Help? Course details Jul 2026 Feb 2027 One semester Full-time or Part-time $4,509* Level 5 Available for International Students. International Fee Guideline Hamilton City Campus Summary Students will gain a broad understanding of information technology's core concepts and skills, including technical support, information systems, integration design, and software development.This programme is the first semester of the diploma and degree if students decide to progress to further study.Please note, students in this programme are encouraged to bring their own device (a laptop). Specifications can be found here. View programme modules Module CodeModule TitleLevelCreditsPre-RequisitesCo-RequisitesAssessment Standard​​COMP501Informat</x:v>
      </x:c>
      <x:c r="S227" s="46" t="str">
        <x:v>Candidates who have English as a second language are required to have an International English Language Test System (IELTS) score of 5.5 in the academic band, with no individual band score lower than 5.0;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x:v>
      </x:c>
      <x:c r="T227" s="46"/>
      <x:c r="U227" s="46" t="str">
        <x:v>No programme-specific international scholarship confirmed on the live page.</x:v>
      </x:c>
      <x:c r="V227" s="59" t="str">
        <x:v>https://www.wintec.ac.nz/study-at-wintec/courses/information-technology/new-zealand-certificate-in-information-technology-(level-5)</x:v>
      </x:c>
      <x:c r="W227" s="59" t="str">
        <x:v>https://www.wintec.ac.nz/international</x:v>
      </x:c>
      <x:c r="X227" s="46" t="str">
        <x:v>2026-07-29</x:v>
      </x:c>
      <x:c r="Y227" s="46" t="str">
        <x:v>Double-checked: live programme page + official international source</x:v>
      </x:c>
      <x:c r="Z227" s="46" t="str">
        <x:v>Domestic fee shown elsewhere on the page is ignored; international fee guideline controls this field.</x:v>
      </x:c>
      <x:c r="AA227" s="46"/>
      <x:c r="AB227" s="46" t="str">
        <x:v>Published by provider</x:v>
      </x:c>
      <x:c r="AC227" s="47" t="str">
        <x:v>Feb 2027</x:v>
      </x:c>
    </x:row>
    <x:row r="228" ht="48" customHeight="1">
      <x:c r="A228" s="51" t="str">
        <x:v>Waikato Institute of Technology</x:v>
      </x:c>
      <x:c r="B228" s="52" t="str">
        <x:v>Wintec</x:v>
      </x:c>
      <x:c r="C228" s="52" t="str">
        <x:v>Computing &amp; IT</x:v>
      </x:c>
      <x:c r="D228" s="52" t="str">
        <x:v>New Zealand Diploma in Information Technology Technical Support</x:v>
      </x:c>
      <x:c r="E228" s="52"/>
      <x:c r="F228" s="52" t="n">
        <x:v>5</x:v>
      </x:c>
      <x:c r="G228" s="52" t="str">
        <x:v>Diploma</x:v>
      </x:c>
      <x:c r="H228" s="52" t="str">
        <x:v>On campus / in-person (may include blended components)</x:v>
      </x:c>
      <x:c r="I228" s="52" t="str">
        <x:v>Yes — provider publishes international/on-campus availability</x:v>
      </x:c>
      <x:c r="J228" s="52" t="str">
        <x:v>Hamilton City Campus</x:v>
      </x:c>
      <x:c r="K228" s="52" t="str">
        <x:v>One year Full-time or Part-time</x:v>
      </x:c>
      <x:c r="L228" s="52"/>
      <x:c r="M228" s="52" t="str">
        <x:v>Feb 2027</x:v>
      </x:c>
      <x:c r="N228" s="52" t="str">
        <x:v>$26,600</x:v>
      </x:c>
      <x:c r="O228" s="52" t="str">
        <x:v>2026 international fees flyer</x:v>
      </x:c>
      <x:c r="P228" s="52" t="str">
        <x:v>2026</x:v>
      </x:c>
      <x:c r="Q228" s="52" t="str">
        <x:v>Not published; 2026 fee shown only</x:v>
      </x:c>
      <x:c r="R228" s="52" t="str">
        <x:v>Pathways Your First Day Prospectus (Course Guide) Portfolio Need Help? Course details Jul 2026 Feb 2027 One year Full-time or Part-time $9,019* Level 5 Available for International Students. International Fee Guideline Hamilton City Campus Summary This programme will provide students with the knowledge and skills for a career in information technology. It is equivalent to the first year of the Bachelor of Applied Information Technology, so if students choose to progress to the degree they will only need to undertake another two years of study.Students will develop an awareness of the IT environment and an appreciation of the needs of users. Students will develop the skills to work in roles such as computer technician, help desk and technical support officer, entry-level network administrato</x:v>
      </x:c>
      <x:c r="S228" s="52" t="str">
        <x:v>Candidates who have English as a second language are required to have an International English Language Test System (IELTS) score of 5.5 in the academic band, with no individual band score lower than 5.0;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x:v>
      </x:c>
      <x:c r="T228" s="52"/>
      <x:c r="U228" s="52" t="str">
        <x:v>No programme-specific international scholarship confirmed on the live page.</x:v>
      </x:c>
      <x:c r="V228" s="58" t="str">
        <x:v>https://www.wintec.ac.nz/study-at-wintec/courses/information-technology/new-zealand-diploma-in-information-technology-technical-support</x:v>
      </x:c>
      <x:c r="W228" s="58" t="str">
        <x:v>https://www.wintec.ac.nz/international</x:v>
      </x:c>
      <x:c r="X228" s="52" t="str">
        <x:v>2026-07-29</x:v>
      </x:c>
      <x:c r="Y228" s="52" t="str">
        <x:v>Double-checked: live programme page + official international source</x:v>
      </x:c>
      <x:c r="Z228" s="52" t="str">
        <x:v>Domestic fee shown elsewhere on the page is ignored; international fee guideline controls this field.</x:v>
      </x:c>
      <x:c r="AA228" s="52"/>
      <x:c r="AB228" s="52" t="str">
        <x:v>Published by provider</x:v>
      </x:c>
      <x:c r="AC228" s="53" t="str">
        <x:v>Feb 2027</x:v>
      </x:c>
    </x:row>
    <x:row r="229" ht="48" customHeight="1">
      <x:c r="A229" s="45" t="str">
        <x:v>Waikato Institute of Technology</x:v>
      </x:c>
      <x:c r="B229" s="46" t="str">
        <x:v>Wintec</x:v>
      </x:c>
      <x:c r="C229" s="46" t="str">
        <x:v>Construction &amp; Architecture</x:v>
      </x:c>
      <x:c r="D229" s="46" t="str">
        <x:v>New Zealand Diploma in Architectural Technology (Level 6)</x:v>
      </x:c>
      <x:c r="E229" s="46"/>
      <x:c r="F229" s="46" t="n">
        <x:v>6</x:v>
      </x:c>
      <x:c r="G229" s="46" t="str">
        <x:v>Diploma</x:v>
      </x:c>
      <x:c r="H229" s="46" t="str">
        <x:v>On campus / in-person (may include blended components)</x:v>
      </x:c>
      <x:c r="I229" s="46" t="str">
        <x:v>Yes — provider publishes international/on-campus availability</x:v>
      </x:c>
      <x:c r="J229" s="46" t="str">
        <x:v>Hamilton City Campus</x:v>
      </x:c>
      <x:c r="K229" s="46" t="str">
        <x:v>Two years Full-time or Part-time</x:v>
      </x:c>
      <x:c r="L229" s="46"/>
      <x:c r="M229" s="46" t="str">
        <x:v>Feb 2027</x:v>
      </x:c>
      <x:c r="N229" s="46" t="str">
        <x:v>$26,600</x:v>
      </x:c>
      <x:c r="O229" s="46" t="str">
        <x:v>2026 international fees flyer</x:v>
      </x:c>
      <x:c r="P229" s="46" t="str">
        <x:v>2026</x:v>
      </x:c>
      <x:c r="Q229" s="46" t="str">
        <x:v>Not published; 2026 fee shown only</x:v>
      </x:c>
      <x:c r="R229" s="46" t="str">
        <x:v>Pathways Your First Day Prospectus (Course Guide) Portfolio Need Help? Course details Feb 2027 Two years Full-time or Part-time $8,704* per year You may qualify for fee-free study under the Fees Free Policy Level 6 Available for International Students. International Fee Guideline Hamilton City Campus Summary Architectural technicians use their construction and drawing knowledge to make building designs become a reality.They produce drawings and documents that enable pricing, consenting and construction of domestic and commercial building projects. They also create architectural models and specifications and may be involved in administering construction contracts.Students in this programme will learn to prepare fully detailed drawings and specifications for the construction of buildings, bo</x:v>
      </x:c>
      <x:c r="S229" s="46" t="str">
        <x:v>Applicants for whom English or te reo Māori is not a first language need to provide evidence that they have the necessary English language proficiency required for the programme. International applicants are required to have an IELTS (Academic) score of 6 with no individual band lower than 5.5 from a single test taken in the preceding two years, or PTE: (Academic) score of 50 with no band score lower than 42 or NZCEL: Level 4 (Academic). Click the button below to see full details of the entry criteria. VIEW PROGRAMME REGULATIONS Do not meet the entry criteria or need more information? CONTACT US Pathways To check what you need to gain direct </x:v>
      </x:c>
      <x:c r="T229" s="46"/>
      <x:c r="U229" s="46" t="str">
        <x:v>No programme-specific international scholarship confirmed on the live page.</x:v>
      </x:c>
      <x:c r="V229" s="59" t="str">
        <x:v>https://www.wintec.ac.nz/study-at-wintec/courses/architectural-technology/new-zealand-diploma-in-architectural-technology-(level-6)</x:v>
      </x:c>
      <x:c r="W229" s="59" t="str">
        <x:v>https://www.wintec.ac.nz/international</x:v>
      </x:c>
      <x:c r="X229" s="46" t="str">
        <x:v>2026-07-29</x:v>
      </x:c>
      <x:c r="Y229" s="46" t="str">
        <x:v>Double-checked: live programme page + official international source</x:v>
      </x:c>
      <x:c r="Z229" s="46" t="str">
        <x:v>Domestic fee shown elsewhere on the page is ignored; international fee guideline controls this field.</x:v>
      </x:c>
      <x:c r="AA229" s="46"/>
      <x:c r="AB229" s="46" t="str">
        <x:v>Published by provider</x:v>
      </x:c>
      <x:c r="AC229" s="47" t="str">
        <x:v>Feb 2027</x:v>
      </x:c>
    </x:row>
    <x:row r="230" ht="48" customHeight="1">
      <x:c r="A230" s="51" t="str">
        <x:v>Waikato Institute of Technology</x:v>
      </x:c>
      <x:c r="B230" s="52" t="str">
        <x:v>Wintec</x:v>
      </x:c>
      <x:c r="C230" s="52" t="str">
        <x:v>Construction &amp; Architecture</x:v>
      </x:c>
      <x:c r="D230" s="52" t="str">
        <x:v>New Zealand Diploma in Construction (Level 6)</x:v>
      </x:c>
      <x:c r="E230" s="52"/>
      <x:c r="F230" s="52" t="n">
        <x:v>6</x:v>
      </x:c>
      <x:c r="G230" s="52" t="str">
        <x:v>Diploma</x:v>
      </x:c>
      <x:c r="H230" s="52" t="str">
        <x:v>On campus / in-person (may include blended components)</x:v>
      </x:c>
      <x:c r="I230" s="52" t="str">
        <x:v>Yes — provider publishes international/on-campus availability</x:v>
      </x:c>
      <x:c r="J230" s="52" t="str">
        <x:v>Hamilton City Campus</x:v>
      </x:c>
      <x:c r="K230" s="52" t="str">
        <x:v>Two years Full-time or Part-time</x:v>
      </x:c>
      <x:c r="L230" s="52"/>
      <x:c r="M230" s="52" t="str">
        <x:v>Feb 2027</x:v>
      </x:c>
      <x:c r="N230" s="52" t="str">
        <x:v>$26,600</x:v>
      </x:c>
      <x:c r="O230" s="52" t="str">
        <x:v>2026 international fees flyer</x:v>
      </x:c>
      <x:c r="P230" s="52" t="str">
        <x:v>2026</x:v>
      </x:c>
      <x:c r="Q230" s="52" t="str">
        <x:v>Not published; 2026 fee shown only</x:v>
      </x:c>
      <x:c r="R230" s="52" t="str">
        <x:v>Pathways Your First Day Prospectus (Course Guide) Portfolio Need Help? Course details Feb 2027 Two years Full-time or Part-time $8,704* per year Level 6 Available for International Students. International Fee Guideline Hamilton City Campus Please note that the Construction Management Strand is not currently being offered. Summary Quantity surveyors manage the finances of construction projects. A working day could include liaising with clients, industry professionals and site workers; measuring quantities of materials; estimating; preparing claims, cash flows and construction programmes, and much more.Students in this programme will learn the practical skills for quantity surveying, including estimating and feasibility, quantification, pricing, and financial administration of a project duri</x:v>
      </x:c>
      <x:c r="S230" s="52" t="str">
        <x:v>Applicants for whom English or te reo Māori is not a first language need to provide evidence that they have the necessary English language proficiency required for the programme. International applicants are required to have an IELTS (Academic) score of 6 with no individual band lower than 5.5 from a single test taken in the preceding two years, or PTE: (Academic) score of 50 with no band score lower than 42 or NZCEL: Level 4 (Academic). Click the button below to see full details of the entry criteria. VIEW PROGRAMME REGULATIONS Do not meet the entry criteria or need more information? CONTACT US Pathways To check what you need to gain direct </x:v>
      </x:c>
      <x:c r="T230" s="52"/>
      <x:c r="U230" s="52" t="str">
        <x:v>No programme-specific international scholarship confirmed on the live page.</x:v>
      </x:c>
      <x:c r="V230" s="58" t="str">
        <x:v>https://www.wintec.ac.nz/study-at-wintec/courses/quantity-surveying/new-zealand-diploma-in-construction-(level-6)-quantity-surveying</x:v>
      </x:c>
      <x:c r="W230" s="58" t="str">
        <x:v>https://www.wintec.ac.nz/international</x:v>
      </x:c>
      <x:c r="X230" s="52" t="str">
        <x:v>2026-07-29</x:v>
      </x:c>
      <x:c r="Y230" s="52" t="str">
        <x:v>Double-checked: live programme page + official international source</x:v>
      </x:c>
      <x:c r="Z230" s="52" t="str">
        <x:v>Domestic fee shown elsewhere on the page is ignored; international fee guideline controls this field.</x:v>
      </x:c>
      <x:c r="AA230" s="52"/>
      <x:c r="AB230" s="52" t="str">
        <x:v>Published by provider</x:v>
      </x:c>
      <x:c r="AC230" s="53" t="str">
        <x:v>Feb 2027</x:v>
      </x:c>
    </x:row>
    <x:row r="231" ht="48" customHeight="1">
      <x:c r="A231" s="45" t="str">
        <x:v>Waikato Institute of Technology</x:v>
      </x:c>
      <x:c r="B231" s="46" t="str">
        <x:v>Wintec</x:v>
      </x:c>
      <x:c r="C231" s="46" t="str">
        <x:v>Creative Arts &amp; Media</x:v>
      </x:c>
      <x:c r="D231" s="46" t="str">
        <x:v>Master of Arts</x:v>
      </x:c>
      <x:c r="E231" s="46"/>
      <x:c r="F231" s="46" t="n">
        <x:v>9</x:v>
      </x:c>
      <x:c r="G231" s="46" t="str">
        <x:v>Master's Degree</x:v>
      </x:c>
      <x:c r="H231" s="46" t="str">
        <x:v>On campus / in-person (may include blended components)</x:v>
      </x:c>
      <x:c r="I231" s="46" t="str">
        <x:v>Yes — provider publishes international/on-campus availability</x:v>
      </x:c>
      <x:c r="J231" s="46" t="str">
        <x:v>Hamilton City Campus</x:v>
      </x:c>
      <x:c r="K231" s="46" t="str">
        <x:v>One year Full-time or Part-time</x:v>
      </x:c>
      <x:c r="L231" s="46" t="str">
        <x:v>Sep 2026</x:v>
      </x:c>
      <x:c r="M231" s="46" t="str">
        <x:v>Feb 2027</x:v>
      </x:c>
      <x:c r="N231" s="46" t="str">
        <x:v>$27,650–$29,200 (programme-specific 2026 flyer amount)</x:v>
      </x:c>
      <x:c r="O231" s="46" t="str">
        <x:v>2026 international fees flyer</x:v>
      </x:c>
      <x:c r="P231" s="46" t="str">
        <x:v>2026</x:v>
      </x:c>
      <x:c r="Q231" s="46" t="str">
        <x:v>Not published; 2026 fee shown only</x:v>
      </x:c>
      <x:c r="R231" s="46" t="str">
        <x:v>Pathways Your First Day Prospectus (Course Guide) Portfolio Need Help? Course details Jul 2026 Sep 2026 Feb 2027 One year Full-time or Part-time $9,019* You may qualify for fee-free study under the Fees Free Policy Level 9 Available for International Students. International Fee Guideline Hamilton City Campus Summary This programme provides students with postgraduate study leading towards professional and higher academic practice. Students will learn within a research-focused learning environment, and will extend their domain of practice through research in their chosen area.Students will extend their domain of practice through undertaking a body of sustained, independent research. This in-depth investigation is in the student's chosen area of communication, design, music and performing art</x:v>
      </x:c>
      <x:c r="S231" s="46" t="str">
        <x:v>Candidates who have English as a second language are required to have an International English Language Test System (IELTS) score of 6.5, with no individual band score lower than 6.0;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x:v>
      </x:c>
      <x:c r="T231" s="46"/>
      <x:c r="U231" s="46" t="str">
        <x:v>No programme-specific international scholarship confirmed on the live page.</x:v>
      </x:c>
      <x:c r="V231" s="59" t="str">
        <x:v>https://www.wintec.ac.nz/study-at-wintec/courses/art-and-design/master-of-arts</x:v>
      </x:c>
      <x:c r="W231" s="59" t="str">
        <x:v>https://www.wintec.ac.nz/international</x:v>
      </x:c>
      <x:c r="X231" s="46" t="str">
        <x:v>2026-07-29</x:v>
      </x:c>
      <x:c r="Y231" s="46" t="str">
        <x:v>Double-checked: live programme page + official international source</x:v>
      </x:c>
      <x:c r="Z231" s="46" t="str">
        <x:v>Domestic fee shown elsewhere on the page is ignored; international fee guideline controls this field.</x:v>
      </x:c>
      <x:c r="AA231" s="46"/>
      <x:c r="AB231" s="46" t="str">
        <x:v>Published by provider</x:v>
      </x:c>
      <x:c r="AC231" s="47" t="str">
        <x:v>Feb 2027</x:v>
      </x:c>
    </x:row>
    <x:row r="232" ht="48" customHeight="1">
      <x:c r="A232" s="51" t="str">
        <x:v>Waikato Institute of Technology</x:v>
      </x:c>
      <x:c r="B232" s="52" t="str">
        <x:v>Wintec</x:v>
      </x:c>
      <x:c r="C232" s="52" t="str">
        <x:v>Creative Arts &amp; Media</x:v>
      </x:c>
      <x:c r="D232" s="52" t="str">
        <x:v>Bachelor of Media Arts (Honours)</x:v>
      </x:c>
      <x:c r="E232" s="52"/>
      <x:c r="F232" s="52" t="n">
        <x:v>8</x:v>
      </x:c>
      <x:c r="G232" s="52" t="str">
        <x:v>Bachelor's Degree</x:v>
      </x:c>
      <x:c r="H232" s="52" t="str">
        <x:v>On campus / in-person (may include blended components)</x:v>
      </x:c>
      <x:c r="I232" s="52" t="str">
        <x:v>Yes — provider publishes international/on-campus availability</x:v>
      </x:c>
      <x:c r="J232" s="52" t="str">
        <x:v>Hamilton City Campus</x:v>
      </x:c>
      <x:c r="K232" s="52" t="str">
        <x:v>One year Full-time or Part-time</x:v>
      </x:c>
      <x:c r="L232" s="52"/>
      <x:c r="M232" s="52" t="str">
        <x:v>Feb 2027</x:v>
      </x:c>
      <x:c r="N232" s="52" t="str">
        <x:v>$29,200</x:v>
      </x:c>
      <x:c r="O232" s="52" t="str">
        <x:v>2026 international fees flyer</x:v>
      </x:c>
      <x:c r="P232" s="52" t="str">
        <x:v>2026</x:v>
      </x:c>
      <x:c r="Q232" s="52" t="str">
        <x:v>Not published; 2026 fee shown only</x:v>
      </x:c>
      <x:c r="R232" s="52" t="str">
        <x:v>Pathways Your First Day Prospectus (Course Guide) Portfolio Need Help? Course details Jul 2026 Feb 2027 One year Full-time or Part-time $9,019* per year You may qualify for fee-free study under the Fees Free Policy Level 8 Available for International Students. International Fee Guideline Hamilton City Campus Summary The Bachelor of Media Arts (Honours) offers a contemporary, open and rigorous learning environment tailored to students' needs.This is a postgraduate programme for students who wish to undertake an in-depth investigation into their chosen field, within a research-focused learning environment. Students will have the opportunity to respond to new developments in the communication, design, music, and visual arts fields.As an Honours student supervision is provided for both the pra</x:v>
      </x:c>
      <x:c r="S232" s="52" t="str">
        <x:v>Candidates who have English as a second language are required to have an International English Language Test System (IELTS) score of 6.5, with no individual band score lower than 6.0;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x:v>
      </x:c>
      <x:c r="T232" s="52"/>
      <x:c r="U232" s="52" t="str">
        <x:v>No programme-specific international scholarship confirmed on the live page.</x:v>
      </x:c>
      <x:c r="V232" s="58" t="str">
        <x:v>https://www.wintec.ac.nz/study-at-wintec/courses/art-and-design/bachelor-of-media-arts-(honours)</x:v>
      </x:c>
      <x:c r="W232" s="58" t="str">
        <x:v>https://www.wintec.ac.nz/international</x:v>
      </x:c>
      <x:c r="X232" s="52" t="str">
        <x:v>2026-07-29</x:v>
      </x:c>
      <x:c r="Y232" s="52" t="str">
        <x:v>Double-checked: live programme page + official international source</x:v>
      </x:c>
      <x:c r="Z232" s="52" t="str">
        <x:v>Domestic fee shown elsewhere on the page is ignored; international fee guideline controls this field.</x:v>
      </x:c>
      <x:c r="AA232" s="52"/>
      <x:c r="AB232" s="52" t="str">
        <x:v>Published by provider</x:v>
      </x:c>
      <x:c r="AC232" s="53" t="str">
        <x:v>Feb 2027</x:v>
      </x:c>
    </x:row>
    <x:row r="233" ht="48" customHeight="1">
      <x:c r="A233" s="45" t="str">
        <x:v>Waikato Institute of Technology</x:v>
      </x:c>
      <x:c r="B233" s="46" t="str">
        <x:v>Wintec</x:v>
      </x:c>
      <x:c r="C233" s="46" t="str">
        <x:v>Creative Arts &amp; Media</x:v>
      </x:c>
      <x:c r="D233" s="46" t="str">
        <x:v>Bachelor of Design</x:v>
      </x:c>
      <x:c r="E233" s="46"/>
      <x:c r="F233" s="46" t="n">
        <x:v>7</x:v>
      </x:c>
      <x:c r="G233" s="46" t="str">
        <x:v>Bachelor's Degree</x:v>
      </x:c>
      <x:c r="H233" s="46" t="str">
        <x:v>On campus / in-person (may include blended components)</x:v>
      </x:c>
      <x:c r="I233" s="46" t="str">
        <x:v>Yes — provider publishes international/on-campus availability</x:v>
      </x:c>
      <x:c r="J233" s="46" t="str">
        <x:v>Hamilton City Campus</x:v>
      </x:c>
      <x:c r="K233" s="46" t="str">
        <x:v>Three years Full-time or Part-time</x:v>
      </x:c>
      <x:c r="L233" s="46"/>
      <x:c r="M233" s="46" t="str">
        <x:v>Feb 2027</x:v>
      </x:c>
      <x:c r="N233" s="46" t="str">
        <x:v>$26,600</x:v>
      </x:c>
      <x:c r="O233" s="46" t="str">
        <x:v>2026 international fees flyer</x:v>
      </x:c>
      <x:c r="P233" s="46" t="str">
        <x:v>2026</x:v>
      </x:c>
      <x:c r="Q233" s="46" t="str">
        <x:v>Not published; 2026 fee shown only</x:v>
      </x:c>
      <x:c r="R233" s="46" t="str">
        <x:v>Pathways Your First Day Prospectus (Course Guide) Portfolio Need Help? Course details Jul 2026** Feb 2027 Three years Full-time or Part-time $8,259* per year You may qualify for fee-free study under the Fees Free Policy Level 7 Available for International Students. International Fee Guideline Hamilton City Campus Summary Students in the Bachelor of Design programme will develop their creativity, innovation, and design capabilities to find new ways to visually and strategically solve challenges for brands and organisations. The degree has two different endorsements:Visual Communication (graphic design)Spatial Design (interior design) "I love being around others who shared my passion and having great tutors enthused about helping me. The fact that the course is designed to get us industry-re</x:v>
      </x:c>
      <x:c r="S233" s="46" t="str">
        <x:v>a) Candidates who have English as a second language are required to have an International English Language Test System (IELTS) score of 6.0 with no individual band score lower than 5.5; or,b)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x:v>
      </x:c>
      <x:c r="T233" s="46"/>
      <x:c r="U233" s="46" t="str">
        <x:v>No programme-specific international scholarship confirmed on the live page.</x:v>
      </x:c>
      <x:c r="V233" s="59" t="str">
        <x:v>https://www.wintec.ac.nz/study-at-wintec/courses/art-and-design/bachelor-of-design</x:v>
      </x:c>
      <x:c r="W233" s="59" t="str">
        <x:v>https://www.wintec.ac.nz/international</x:v>
      </x:c>
      <x:c r="X233" s="46" t="str">
        <x:v>2026-07-29</x:v>
      </x:c>
      <x:c r="Y233" s="46" t="str">
        <x:v>Double-checked: live programme page + official international source</x:v>
      </x:c>
      <x:c r="Z233" s="46" t="str">
        <x:v>Domestic fee shown elsewhere on the page is ignored; international fee guideline controls this field.</x:v>
      </x:c>
      <x:c r="AA233" s="46"/>
      <x:c r="AB233" s="46" t="str">
        <x:v>Published by provider</x:v>
      </x:c>
      <x:c r="AC233" s="47" t="str">
        <x:v>Feb 2027</x:v>
      </x:c>
    </x:row>
    <x:row r="234" ht="48" customHeight="1">
      <x:c r="A234" s="51" t="str">
        <x:v>Waikato Institute of Technology</x:v>
      </x:c>
      <x:c r="B234" s="52" t="str">
        <x:v>Wintec</x:v>
      </x:c>
      <x:c r="C234" s="52" t="str">
        <x:v>Creative Arts &amp; Media</x:v>
      </x:c>
      <x:c r="D234" s="52" t="str">
        <x:v>Bachelor of Music and Performing Arts</x:v>
      </x:c>
      <x:c r="E234" s="52"/>
      <x:c r="F234" s="52" t="n">
        <x:v>7</x:v>
      </x:c>
      <x:c r="G234" s="52" t="str">
        <x:v>Bachelor's Degree</x:v>
      </x:c>
      <x:c r="H234" s="52" t="str">
        <x:v>On campus / in-person (may include blended components)</x:v>
      </x:c>
      <x:c r="I234" s="52" t="str">
        <x:v>Yes — provider publishes international/on-campus availability</x:v>
      </x:c>
      <x:c r="J234" s="52" t="str">
        <x:v>Hamilton City Campus</x:v>
      </x:c>
      <x:c r="K234" s="52" t="str">
        <x:v>Three years Full-time or Part-time</x:v>
      </x:c>
      <x:c r="L234" s="52"/>
      <x:c r="M234" s="52" t="str">
        <x:v>Feb 2027</x:v>
      </x:c>
      <x:c r="N234" s="52" t="str">
        <x:v>$26,600</x:v>
      </x:c>
      <x:c r="O234" s="52" t="str">
        <x:v>2026 international fees flyer</x:v>
      </x:c>
      <x:c r="P234" s="52" t="str">
        <x:v>2026</x:v>
      </x:c>
      <x:c r="Q234" s="52" t="str">
        <x:v>Not published; 2026 fee shown only</x:v>
      </x:c>
      <x:c r="R234" s="52" t="str">
        <x:v>Pathways Your First Day Prospectus (Course Guide) Portfolio Need Help? Course details Jul 2026** Feb 2027 Three years Full-time or Part-time $8,715* per year Level 7 Available for International Students. International Fee Guideline Hamilton City Campus Summary Students will develop their own musical voice and learn skills for a career on stage, behind the curtain, or in the production suite. Music and performing arts students work alongside each other to learn technical, theoretical and professional skills while developing their expertise in their chosen endorsements. Through additional elective modules and large-scale projects, students have the opportunity to specialise in their chosen field as they move through the degree.This degree has two pathways:Music (audio production, composition</x:v>
      </x:c>
      <x:c r="S234" s="52" t="str">
        <x:v>a) Candidates who have English as a second language are required to have an International English Language Test System (IELTS) score of 6.0 with no individual band score lower than 5.5; or,b)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x:v>
      </x:c>
      <x:c r="T234" s="52"/>
      <x:c r="U234" s="52" t="str">
        <x:v>No programme-specific international scholarship confirmed on the live page.</x:v>
      </x:c>
      <x:c r="V234" s="58" t="str">
        <x:v>https://www.wintec.ac.nz/study-at-wintec/courses/muspa/bachelor-of-music-and-performing-arts</x:v>
      </x:c>
      <x:c r="W234" s="58" t="str">
        <x:v>https://www.wintec.ac.nz/international</x:v>
      </x:c>
      <x:c r="X234" s="52" t="str">
        <x:v>2026-07-29</x:v>
      </x:c>
      <x:c r="Y234" s="52" t="str">
        <x:v>Double-checked: live programme page + official international source</x:v>
      </x:c>
      <x:c r="Z234" s="52" t="str">
        <x:v>Domestic fee shown elsewhere on the page is ignored; international fee guideline controls this field.</x:v>
      </x:c>
      <x:c r="AA234" s="52"/>
      <x:c r="AB234" s="52" t="str">
        <x:v>Published by provider</x:v>
      </x:c>
      <x:c r="AC234" s="53" t="str">
        <x:v>Feb 2027</x:v>
      </x:c>
    </x:row>
    <x:row r="235" ht="48" customHeight="1">
      <x:c r="A235" s="45" t="str">
        <x:v>Waikato Institute of Technology</x:v>
      </x:c>
      <x:c r="B235" s="46" t="str">
        <x:v>Wintec</x:v>
      </x:c>
      <x:c r="C235" s="46" t="str">
        <x:v>Creative Arts &amp; Media</x:v>
      </x:c>
      <x:c r="D235" s="46" t="str">
        <x:v>Culinary Arts Year 1</x:v>
      </x:c>
      <x:c r="E235" s="46"/>
      <x:c r="F235" s="46" t="n">
        <x:v>4</x:v>
      </x:c>
      <x:c r="G235" s="46" t="str">
        <x:v>Qualification</x:v>
      </x:c>
      <x:c r="H235" s="46" t="str">
        <x:v>On campus / in-person (may include blended components)</x:v>
      </x:c>
      <x:c r="I235" s="46" t="str">
        <x:v>Yes — provider publishes international/on-campus availability</x:v>
      </x:c>
      <x:c r="J235" s="46" t="str">
        <x:v>Hamilton Rotokauri Campus</x:v>
      </x:c>
      <x:c r="K235" s="46" t="str">
        <x:v>One year Full-time</x:v>
      </x:c>
      <x:c r="L235" s="46" t="str">
        <x:v>Aug 2026</x:v>
      </x:c>
      <x:c r="M235" s="46" t="str">
        <x:v>Feb 2027</x:v>
      </x:c>
      <x:c r="N235" s="46" t="str">
        <x:v>$26,600</x:v>
      </x:c>
      <x:c r="O235" s="46" t="str">
        <x:v>2026 international fees flyer</x:v>
      </x:c>
      <x:c r="P235" s="46" t="str">
        <x:v>2026</x:v>
      </x:c>
      <x:c r="Q235" s="46" t="str">
        <x:v>Not published; 2026 fee shown only</x:v>
      </x:c>
      <x:c r="R235" s="46" t="str">
        <x:v>Pathways Your First Day Prospectus (Course Guide) Portfolio Need Help? Course details Aug 2026 Feb 2027 One year Full-time $8,508* You may qualify for fee-free study under MPTT* or the Fees Free Policy Level 4 Available for International Students. International Fee Guideline Hamilton Rotokauri Campus Summary In this programme, you will develop cookery skills to prepare, cook and present food, employing complex preparation and presentation techniques. In real-life settings, learn standard operating policies and procedures that will enable you to work in a commercial kitchen environment.This hands-on programme gives you the skills and experience to enter the workforce graduating with the New Zealand Certificate in Cookery (Level 4) qualification. ​View programme modules Module codeModule tit</x:v>
      </x:c>
      <x:c r="S235" s="46" t="str">
        <x:v>Candidates who have English as a second language are required to have an International English Language Test System (IELTS) score of 5.5, with no individual band score lower than 5; or PTE: (Academic) score of 42 with no band score lower than 36 or NZCEL: Level 3 (Academic).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x:v>
      </x:c>
      <x:c r="T235" s="46"/>
      <x:c r="U235" s="46" t="str">
        <x:v>No programme-specific international scholarship confirmed on the live page.</x:v>
      </x:c>
      <x:c r="V235" s="59" t="str">
        <x:v>https://www.wintec.ac.nz/study-at-wintec/courses/hospitality/culinary-arts-year-1</x:v>
      </x:c>
      <x:c r="W235" s="59" t="str">
        <x:v>https://www.wintec.ac.nz/international</x:v>
      </x:c>
      <x:c r="X235" s="46" t="str">
        <x:v>2026-07-29</x:v>
      </x:c>
      <x:c r="Y235" s="46" t="str">
        <x:v>Double-checked: live programme page + official international source</x:v>
      </x:c>
      <x:c r="Z235" s="46" t="str">
        <x:v>Domestic fee shown elsewhere on the page is ignored; international fee guideline controls this field.</x:v>
      </x:c>
      <x:c r="AA235" s="46"/>
      <x:c r="AB235" s="46" t="str">
        <x:v>Published by provider</x:v>
      </x:c>
      <x:c r="AC235" s="47" t="str">
        <x:v>Feb 2027</x:v>
      </x:c>
    </x:row>
    <x:row r="236" ht="48" customHeight="1">
      <x:c r="A236" s="51" t="str">
        <x:v>Waikato Institute of Technology</x:v>
      </x:c>
      <x:c r="B236" s="52" t="str">
        <x:v>Wintec</x:v>
      </x:c>
      <x:c r="C236" s="52" t="str">
        <x:v>Education &amp; Social Services</x:v>
      </x:c>
      <x:c r="D236" s="52" t="str">
        <x:v>Te Paetahi Akoranga Bachelor of Teaching (Early Childhood Education)</x:v>
      </x:c>
      <x:c r="E236" s="52"/>
      <x:c r="F236" s="52" t="n">
        <x:v>7</x:v>
      </x:c>
      <x:c r="G236" s="52" t="str">
        <x:v>Bachelor's Degree</x:v>
      </x:c>
      <x:c r="H236" s="52" t="str">
        <x:v>On campus / in-person (may include blended components)</x:v>
      </x:c>
      <x:c r="I236" s="52" t="str">
        <x:v>Yes — provider publishes international/on-campus availability</x:v>
      </x:c>
      <x:c r="J236" s="52" t="str">
        <x:v>Hamilton City Campus</x:v>
      </x:c>
      <x:c r="K236" s="52" t="str">
        <x:v>Three years Full-time or Part-time</x:v>
      </x:c>
      <x:c r="L236" s="52"/>
      <x:c r="M236" s="52" t="str">
        <x:v>Feb 2027</x:v>
      </x:c>
      <x:c r="N236" s="52" t="str">
        <x:v>$26,600</x:v>
      </x:c>
      <x:c r="O236" s="52" t="str">
        <x:v>2026 international fees flyer</x:v>
      </x:c>
      <x:c r="P236" s="52" t="str">
        <x:v>2026</x:v>
      </x:c>
      <x:c r="Q236" s="52" t="str">
        <x:v>Not published; 2026 fee shown only</x:v>
      </x:c>
      <x:c r="R236" s="52" t="str">
        <x:v>Pathways Your First Day Prospectus (Course Guide) Portfolio Need Help? Course details Jul 2026 Feb 2027 Three years Full-time or Part-time $8,248* per year You may qualify for fee-free study under the Fees Free Policy Level 7 Available for International Students. International Fee Guideline Hamilton City Campus Summary Te Paetahi Akoranga Bachelor of Teaching (ECE) is an Initial Teacher Education (ITE) degree. An ITE qualification is the requirement to become a beginning teacher in Aotearoa, New Zealand. Approved and monitored by the Teaching Council of Aotearoa New Zealand, this degree is designed for those who would like to pursue a career as a qualified early childhood education teacher.In addition to class time, students will spend a minimum of 12 hours per week in a licensed early chi</x:v>
      </x:c>
      <x:c r="S236" s="52" t="str">
        <x:v>below.UE 2020Applicants who achieved University Entrance through NCEA in 2020 will be assessed under separate NZQA entry requirements that take into account the impacts of COVID-19. Candidates must have achieved:University Entrance, which is NCEA Level 3 comprised of 60 credits at NCEA level 3 or above and 20 credits at NCEA Level 2 or above, including:12 credits each at NCEA Level 3 in three approved subjects; andLiteracy (10 credits at NCEA Level 2 or above made up of 5 credits in reading and 5 credits in writing); and(3) Numeracy (10 credits at NCEA Level 1 or above made up of specified achievement standards or a package of three numeracy </x:v>
      </x:c>
      <x:c r="T236" s="52"/>
      <x:c r="U236" s="52" t="str">
        <x:v>No programme-specific international scholarship confirmed on the live page.</x:v>
      </x:c>
      <x:c r="V236" s="58" t="str">
        <x:v>https://www.wintec.ac.nz/study-at-wintec/courses/education/bachelor-of-teaching-(early-childhood-education)-(level-7)</x:v>
      </x:c>
      <x:c r="W236" s="58" t="str">
        <x:v>https://www.wintec.ac.nz/international</x:v>
      </x:c>
      <x:c r="X236" s="52" t="str">
        <x:v>2026-07-29</x:v>
      </x:c>
      <x:c r="Y236" s="52" t="str">
        <x:v>Double-checked: live programme page + official international source</x:v>
      </x:c>
      <x:c r="Z236" s="52" t="str">
        <x:v>Domestic fee shown elsewhere on the page is ignored; international fee guideline controls this field.</x:v>
      </x:c>
      <x:c r="AA236" s="52"/>
      <x:c r="AB236" s="52" t="str">
        <x:v>Published by provider</x:v>
      </x:c>
      <x:c r="AC236" s="53" t="str">
        <x:v>Feb 2027</x:v>
      </x:c>
    </x:row>
    <x:row r="237" ht="48" customHeight="1">
      <x:c r="A237" s="45" t="str">
        <x:v>Waikato Institute of Technology</x:v>
      </x:c>
      <x:c r="B237" s="46" t="str">
        <x:v>Wintec</x:v>
      </x:c>
      <x:c r="C237" s="46" t="str">
        <x:v>Education &amp; Social Services</x:v>
      </x:c>
      <x:c r="D237" s="46" t="str">
        <x:v>Bachelor of Social Work</x:v>
      </x:c>
      <x:c r="E237" s="46"/>
      <x:c r="F237" s="46" t="n">
        <x:v>4</x:v>
      </x:c>
      <x:c r="G237" s="46" t="str">
        <x:v>Bachelor's Degree</x:v>
      </x:c>
      <x:c r="H237" s="46" t="str">
        <x:v>On campus / in-person (may include blended components)</x:v>
      </x:c>
      <x:c r="I237" s="46" t="str">
        <x:v>Yes — provider publishes international/on-campus availability</x:v>
      </x:c>
      <x:c r="J237" s="46" t="str">
        <x:v>Hamilton (campus stated on programme page)</x:v>
      </x:c>
      <x:c r="K237" s="46" t="str">
        <x:v>Four years Full-time or Part-time</x:v>
      </x:c>
      <x:c r="L237" s="46"/>
      <x:c r="M237" s="46" t="str">
        <x:v>Feb 2027</x:v>
      </x:c>
      <x:c r="N237" s="46" t="str">
        <x:v>$26,600</x:v>
      </x:c>
      <x:c r="O237" s="46" t="str">
        <x:v>2026 international fees flyer</x:v>
      </x:c>
      <x:c r="P237" s="46" t="str">
        <x:v>2026</x:v>
      </x:c>
      <x:c r="Q237" s="46" t="str">
        <x:v>Not published; 2026 fee shown only</x:v>
      </x:c>
      <x:c r="R237" s="46" t="str">
        <x:v>Pathways Your First Day Prospectus (Course Guide) Portfolio Need Help? Course details Feb 2027 Four years Full-time or Part-time $8,248* per year You may qualify for fee-free study under the Fees Free Policy Level 7 Available for International Students. International Fee Guideline Summary This programme is for those passionate about social justice who want to support and empower individuals, families, whānau, and communities. Students will gain the skills to provide advice and support and learn how to advocate for individuals and groups. They will help their communities realise their full potential to function independently and positively in society.This four-year programme combines theoretical knowledge with hands-on learning. You will gain the knowledge base, skills, and attributes requi</x:v>
      </x:c>
      <x:c r="S237" s="46" t="str">
        <x:v>Candidates who have English as an additional language are required to have an International English Language Test System (IELTS) academic score of 6.5 across all components; or NZCEL: Level 5 (Academic).UE 2020Applicants who achieved University Entrance through NCEA in 2020 will be assessed under separate NZQA entry requirements that take into account the impacts of COVID-19. Candidates are required to have: NCEA Level 3 comprised of 60 credits at NCEA Level 3 or above and 20 credits at NCEA Level 2 or above, including:12 credits each at NCEA Level 3 in three approved subjects; andUE Literacy (10 credits at NCEA Level 2 or above made up of 5 </x:v>
      </x:c>
      <x:c r="T237" s="46"/>
      <x:c r="U237" s="46" t="str">
        <x:v>No programme-specific international scholarship confirmed on the live page.</x:v>
      </x:c>
      <x:c r="V237" s="59" t="str">
        <x:v>https://www.wintec.ac.nz/study-at-wintec/courses/health-and-wellbeing/social-work/bachelor-of-social-work</x:v>
      </x:c>
      <x:c r="W237" s="59" t="str">
        <x:v>https://www.wintec.ac.nz/international</x:v>
      </x:c>
      <x:c r="X237" s="46" t="str">
        <x:v>2026-07-29</x:v>
      </x:c>
      <x:c r="Y237" s="46" t="str">
        <x:v>Double-checked: live programme page + official international source</x:v>
      </x:c>
      <x:c r="Z237" s="46" t="str">
        <x:v>Domestic fee shown elsewhere on the page is ignored; international fee guideline controls this field.</x:v>
      </x:c>
      <x:c r="AA237" s="46"/>
      <x:c r="AB237" s="46" t="str">
        <x:v>Published by provider</x:v>
      </x:c>
      <x:c r="AC237" s="47" t="str">
        <x:v>Feb 2027</x:v>
      </x:c>
    </x:row>
    <x:row r="238" ht="48" customHeight="1">
      <x:c r="A238" s="51" t="str">
        <x:v>Waikato Institute of Technology</x:v>
      </x:c>
      <x:c r="B238" s="52" t="str">
        <x:v>Wintec</x:v>
      </x:c>
      <x:c r="C238" s="52" t="str">
        <x:v>Education &amp; Social Services</x:v>
      </x:c>
      <x:c r="D238" s="52" t="str">
        <x:v>Paetahi Tumu Kōrero Bachelor of Counselling</x:v>
      </x:c>
      <x:c r="E238" s="52"/>
      <x:c r="F238" s="52" t="n">
        <x:v>4</x:v>
      </x:c>
      <x:c r="G238" s="52" t="str">
        <x:v>Bachelor's Degree</x:v>
      </x:c>
      <x:c r="H238" s="52" t="str">
        <x:v>On campus / in-person (may include blended components)</x:v>
      </x:c>
      <x:c r="I238" s="52" t="str">
        <x:v>Yes — provider publishes international/on-campus availability</x:v>
      </x:c>
      <x:c r="J238" s="52" t="str">
        <x:v>Hamilton (campus stated on programme page)</x:v>
      </x:c>
      <x:c r="K238" s="52" t="str">
        <x:v>Three years Full-time or Part-time</x:v>
      </x:c>
      <x:c r="L238" s="52"/>
      <x:c r="M238" s="52" t="str">
        <x:v>Feb 2027</x:v>
      </x:c>
      <x:c r="N238" s="52" t="str">
        <x:v>$26,600</x:v>
      </x:c>
      <x:c r="O238" s="52" t="str">
        <x:v>2026 international fees flyer</x:v>
      </x:c>
      <x:c r="P238" s="52" t="str">
        <x:v>2026</x:v>
      </x:c>
      <x:c r="Q238" s="52" t="str">
        <x:v>Not published; 2026 fee shown only</x:v>
      </x:c>
      <x:c r="R238" s="52" t="str">
        <x:v>Pathways Your First Day Prospectus (Course Guide) Portfolio Need Help? Course details Feb 2027 Three years Full-time or Part-time $9,019* per year You may qualify for fee-free study under the Fees Free Policy Level 7 Available for International Students. International Fee Guideline (Note: people studying part-time should refer to Paetahi Tumu Kōrero Bachelor of Counselling Regulations for more information). Summary Paetahi Tumu Kōrero Bachelor of Counselling is a three-year degree designed to meet the professional membership requirements of the New Zealand Association of Counsellors (NZAC), Te Whāriki Tautoko, NZ Christian Counsellors Association, and the Drug and Alcohol Practitioners Association Aotearoa New Zealand (Dapaanz). Students in this programme will develop the professional skil</x:v>
      </x:c>
      <x:c r="S238" s="52" t="str">
        <x:v>Candidates who have English as a second language are required to have an International English Language Test System (IELTS) score of 6.5 across all bands; or equivalent. We offer qualifications that may help prepare students for enrolment in this programme if they don't meet the entry criteria:Enrolled Nursing (Nēhi Whakaru) leading to the New Zealand Diploma in Enrolled Nursing (Level 5)Te Ara Pūtake My Academic PathwayNew Zealand Certificate in Health and Wellbeing (Social and Community Services) (Level 4) Want to see full details of the entry criteria? VIEW PROGRAMME REGULATIONS Don't meet the entry criteria? CONTACT US Pathways To check w</x:v>
      </x:c>
      <x:c r="T238" s="52"/>
      <x:c r="U238" s="52" t="str">
        <x:v>No programme-specific international scholarship confirmed on the live page.</x:v>
      </x:c>
      <x:c r="V238" s="58" t="str">
        <x:v>https://www.wintec.ac.nz/study-at-wintec/courses/health-and-wellbeing/counselling/paetahi-tumu-korero-bachelor-of-counselling</x:v>
      </x:c>
      <x:c r="W238" s="58" t="str">
        <x:v>https://www.wintec.ac.nz/international</x:v>
      </x:c>
      <x:c r="X238" s="52" t="str">
        <x:v>2026-07-29</x:v>
      </x:c>
      <x:c r="Y238" s="52" t="str">
        <x:v>Double-checked: live programme page + official international source</x:v>
      </x:c>
      <x:c r="Z238" s="52" t="str">
        <x:v>Domestic fee shown elsewhere on the page is ignored; international fee guideline controls this field.</x:v>
      </x:c>
      <x:c r="AA238" s="52"/>
      <x:c r="AB238" s="52" t="str">
        <x:v>Published by provider</x:v>
      </x:c>
      <x:c r="AC238" s="53" t="str">
        <x:v>Feb 2027</x:v>
      </x:c>
    </x:row>
    <x:row r="239" ht="48" customHeight="1">
      <x:c r="A239" s="45" t="str">
        <x:v>Waikato Institute of Technology</x:v>
      </x:c>
      <x:c r="B239" s="46" t="str">
        <x:v>Wintec</x:v>
      </x:c>
      <x:c r="C239" s="46" t="str">
        <x:v>Engineering</x:v>
      </x:c>
      <x:c r="D239" s="46" t="str">
        <x:v>Bachelor of Engineering Technology (Civil)</x:v>
      </x:c>
      <x:c r="E239" s="46"/>
      <x:c r="F239" s="46" t="n">
        <x:v>7</x:v>
      </x:c>
      <x:c r="G239" s="46" t="str">
        <x:v>Bachelor's Degree</x:v>
      </x:c>
      <x:c r="H239" s="46" t="str">
        <x:v>On campus / in-person (may include blended components)</x:v>
      </x:c>
      <x:c r="I239" s="46" t="str">
        <x:v>Yes — provider publishes international/on-campus availability</x:v>
      </x:c>
      <x:c r="J239" s="46" t="str">
        <x:v>Hamilton Rotokauri Campus</x:v>
      </x:c>
      <x:c r="K239" s="46" t="str">
        <x:v>Three years Full-time or Part-time</x:v>
      </x:c>
      <x:c r="L239" s="46"/>
      <x:c r="M239" s="46" t="str">
        <x:v>Feb 2027</x:v>
      </x:c>
      <x:c r="N239" s="46" t="str">
        <x:v>$29,800</x:v>
      </x:c>
      <x:c r="O239" s="46" t="str">
        <x:v>2026 international fees flyer</x:v>
      </x:c>
      <x:c r="P239" s="46" t="str">
        <x:v>2026</x:v>
      </x:c>
      <x:c r="Q239" s="46" t="str">
        <x:v>Not published; 2026 fee shown only</x:v>
      </x:c>
      <x:c r="R239" s="46" t="str">
        <x:v>Pathways Your First Day Prospectus (Course Guide) Portfolio Need Help? Course details Jul 2026 Feb 2027 Three years Full-time or Part-time $8,508* per year You may qualify for fee-free study under the Fees Free Policy Level 7 Available for International Students. International Fee Guideline Hamilton Rotokauri Campus Summary Civil engineering technologists apply mathematical, natural science, and engineering fundamentals to civil engineering infrastructure such as roads, bridges, harbours, and water and waste water facilities. They design and oversee the execution of solutions for a broad range of engineering problems and research and investigate possibilities to propose the best options and most appropriate techniques and resources.This programme is for those who want a career in civil eng</x:v>
      </x:c>
      <x:c r="S239" s="46" t="str">
        <x:v>Candidates who have English as a second language are required to have an International English Language Test System (IELTS) score of 6.0 with 6.0 writing, 6.0 speaking, 5.5 reading, 5.5 listening; or equivalent or PTE: (Academic) score of 50 for overall , with 50 for writing and speaking and no band score lower than 42 for reading and listening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x:v>
      </x:c>
      <x:c r="T239" s="46"/>
      <x:c r="U239" s="46" t="str">
        <x:v>No programme-specific international scholarship confirmed on the live page.</x:v>
      </x:c>
      <x:c r="V239" s="59" t="str">
        <x:v>https://www.wintec.ac.nz/study-at-wintec/courses/engineering-and-built-environment/bachelor-of-engineering-technology-(civil)</x:v>
      </x:c>
      <x:c r="W239" s="59" t="str">
        <x:v>https://www.wintec.ac.nz/international</x:v>
      </x:c>
      <x:c r="X239" s="46" t="str">
        <x:v>2026-07-29</x:v>
      </x:c>
      <x:c r="Y239" s="46" t="str">
        <x:v>Double-checked: live programme page + official international source</x:v>
      </x:c>
      <x:c r="Z239" s="46" t="str">
        <x:v>Domestic fee shown elsewhere on the page is ignored; international fee guideline controls this field.</x:v>
      </x:c>
      <x:c r="AA239" s="46"/>
      <x:c r="AB239" s="46" t="str">
        <x:v>Published by provider</x:v>
      </x:c>
      <x:c r="AC239" s="47" t="str">
        <x:v>Feb 2027</x:v>
      </x:c>
    </x:row>
    <x:row r="240" ht="48" customHeight="1">
      <x:c r="A240" s="51" t="str">
        <x:v>Waikato Institute of Technology</x:v>
      </x:c>
      <x:c r="B240" s="52" t="str">
        <x:v>Wintec</x:v>
      </x:c>
      <x:c r="C240" s="52" t="str">
        <x:v>Engineering</x:v>
      </x:c>
      <x:c r="D240" s="52" t="str">
        <x:v>Bachelor of Engineering Technology (Electrical)</x:v>
      </x:c>
      <x:c r="E240" s="52"/>
      <x:c r="F240" s="52" t="n">
        <x:v>7</x:v>
      </x:c>
      <x:c r="G240" s="52" t="str">
        <x:v>Bachelor's Degree</x:v>
      </x:c>
      <x:c r="H240" s="52" t="str">
        <x:v>On campus / in-person (may include blended components)</x:v>
      </x:c>
      <x:c r="I240" s="52" t="str">
        <x:v>Yes — provider publishes international/on-campus availability</x:v>
      </x:c>
      <x:c r="J240" s="52" t="str">
        <x:v>Hamilton Rotokauri Campus</x:v>
      </x:c>
      <x:c r="K240" s="52" t="str">
        <x:v>Three years Full-time or Part-time</x:v>
      </x:c>
      <x:c r="L240" s="52"/>
      <x:c r="M240" s="52" t="str">
        <x:v>Feb 2027</x:v>
      </x:c>
      <x:c r="N240" s="52" t="str">
        <x:v>$29,800</x:v>
      </x:c>
      <x:c r="O240" s="52" t="str">
        <x:v>2026 international fees flyer</x:v>
      </x:c>
      <x:c r="P240" s="52" t="str">
        <x:v>2026</x:v>
      </x:c>
      <x:c r="Q240" s="52" t="str">
        <x:v>Not published; 2026 fee shown only</x:v>
      </x:c>
      <x:c r="R240" s="52" t="str">
        <x:v>Pathways Your First Day Prospectus (Course Guide) Portfolio Need Help? Course details Jul 2026 Feb 2027 Three years Full-time or Part-time $9,019* per year Level 7 Available for International Students. International Fee Guideline Hamilton Rotokauri Campus Summary As an electrical engineering technologist, a workday could involve specifying, designing, or supervising the construction of systems and equipment that produce, distribute, or use electricity, calculating costs and materials needed, bidding for contracts, overseeing electricity system tests, and writing reports or even instruction manuals.Electrical engineering includes the specialist area of mechatronics, which merges the two disciplines of mechanical engineering and power engineering for in-depth knowledge of the fundamental com</x:v>
      </x:c>
      <x:c r="S240" s="52" t="str">
        <x:v>Candidates who have English as a second language are required to have an International English Language Test System (IELTS) score of 6.0 with 6.0 writing, 6.0 speaking, 5.5 reading, 5.5 listening; or equivalent or PTE: (Academic) score of 50 for overall , with 50 for writing and speaking and no band score lower than 42 for reading and listening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x:v>
      </x:c>
      <x:c r="T240" s="52"/>
      <x:c r="U240" s="52" t="str">
        <x:v>No programme-specific international scholarship confirmed on the live page.</x:v>
      </x:c>
      <x:c r="V240" s="58" t="str">
        <x:v>https://www.wintec.ac.nz/study-at-wintec/courses/engineering-and-built-environment/bachelor-of-engineering-technology-(electrical)</x:v>
      </x:c>
      <x:c r="W240" s="58" t="str">
        <x:v>https://www.wintec.ac.nz/international</x:v>
      </x:c>
      <x:c r="X240" s="52" t="str">
        <x:v>2026-07-29</x:v>
      </x:c>
      <x:c r="Y240" s="52" t="str">
        <x:v>Double-checked: live programme page + official international source</x:v>
      </x:c>
      <x:c r="Z240" s="52" t="str">
        <x:v>Domestic fee shown elsewhere on the page is ignored; international fee guideline controls this field.</x:v>
      </x:c>
      <x:c r="AA240" s="52"/>
      <x:c r="AB240" s="52" t="str">
        <x:v>Published by provider</x:v>
      </x:c>
      <x:c r="AC240" s="53" t="str">
        <x:v>Feb 2027</x:v>
      </x:c>
    </x:row>
    <x:row r="241" ht="48" customHeight="1">
      <x:c r="A241" s="45" t="str">
        <x:v>Waikato Institute of Technology</x:v>
      </x:c>
      <x:c r="B241" s="46" t="str">
        <x:v>Wintec</x:v>
      </x:c>
      <x:c r="C241" s="46" t="str">
        <x:v>Engineering</x:v>
      </x:c>
      <x:c r="D241" s="46" t="str">
        <x:v>Bachelor of Engineering Technology (Mechanical)</x:v>
      </x:c>
      <x:c r="E241" s="46"/>
      <x:c r="F241" s="46" t="n">
        <x:v>7</x:v>
      </x:c>
      <x:c r="G241" s="46" t="str">
        <x:v>Bachelor's Degree</x:v>
      </x:c>
      <x:c r="H241" s="46" t="str">
        <x:v>On campus / in-person (may include blended components)</x:v>
      </x:c>
      <x:c r="I241" s="46" t="str">
        <x:v>Yes — provider publishes international/on-campus availability</x:v>
      </x:c>
      <x:c r="J241" s="46" t="str">
        <x:v>Hamilton Rotokauri Campus</x:v>
      </x:c>
      <x:c r="K241" s="46" t="str">
        <x:v>Three years Full-time or Part-time</x:v>
      </x:c>
      <x:c r="L241" s="46"/>
      <x:c r="M241" s="46" t="str">
        <x:v>Feb 2027</x:v>
      </x:c>
      <x:c r="N241" s="46" t="str">
        <x:v>$29,800</x:v>
      </x:c>
      <x:c r="O241" s="46" t="str">
        <x:v>2026 international fees flyer</x:v>
      </x:c>
      <x:c r="P241" s="46" t="str">
        <x:v>2026</x:v>
      </x:c>
      <x:c r="Q241" s="46" t="str">
        <x:v>Not published; 2026 fee shown only</x:v>
      </x:c>
      <x:c r="R241" s="46" t="str">
        <x:v>Pathways Your First Day Prospectus (Course Guide) Portfolio Need Help? Course details Jul 2026 Feb 2027 Three years Full-time or Part-time $8,508* per year You may qualify for fee-free study under the Fees Free Policy Level 7 Available for International Students. International Fee Guideline Hamilton Rotokauri Campus Summary Mechanical engineering technologists design and advise on the building and repair of machines and tools. They could spend their day determining the requirements of the production manager, carrying out feasibility studies, researching the use of energy sources, machinery and materials, using CAD software to model plans or preparing drawings of machines or machine parts.This programme is for those who want a career in engineering. Students will learn theory and practical </x:v>
      </x:c>
      <x:c r="S241" s="46" t="str">
        <x:v>Candidates who have English as a second language are required to have an International English Language Test System (IELTS) score of 6.0 with 6.0 writing, 6.0 speaking, 5.5 reading, 5.5 listening; or equivalent or PTE: (Academic) score of 50 for overall , with 50 for writing and speaking and no band score lower than 42 for reading and listening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x:v>
      </x:c>
      <x:c r="T241" s="46"/>
      <x:c r="U241" s="46" t="str">
        <x:v>No programme-specific international scholarship confirmed on the live page.</x:v>
      </x:c>
      <x:c r="V241" s="59" t="str">
        <x:v>https://www.wintec.ac.nz/study-at-wintec/courses/engineering-and-built-environment/bachelor-of-engineering-technology-(mechanical)</x:v>
      </x:c>
      <x:c r="W241" s="59" t="str">
        <x:v>https://www.wintec.ac.nz/international</x:v>
      </x:c>
      <x:c r="X241" s="46" t="str">
        <x:v>2026-07-29</x:v>
      </x:c>
      <x:c r="Y241" s="46" t="str">
        <x:v>Double-checked: live programme page + official international source</x:v>
      </x:c>
      <x:c r="Z241" s="46" t="str">
        <x:v>Domestic fee shown elsewhere on the page is ignored; international fee guideline controls this field.</x:v>
      </x:c>
      <x:c r="AA241" s="46"/>
      <x:c r="AB241" s="46" t="str">
        <x:v>Published by provider</x:v>
      </x:c>
      <x:c r="AC241" s="47" t="str">
        <x:v>Feb 2027</x:v>
      </x:c>
    </x:row>
    <x:row r="242" ht="48" customHeight="1">
      <x:c r="A242" s="51" t="str">
        <x:v>Waikato Institute of Technology</x:v>
      </x:c>
      <x:c r="B242" s="52" t="str">
        <x:v>Wintec</x:v>
      </x:c>
      <x:c r="C242" s="52" t="str">
        <x:v>Engineering</x:v>
      </x:c>
      <x:c r="D242" s="52" t="str">
        <x:v>Graduate Diploma in Engineering Technology</x:v>
      </x:c>
      <x:c r="E242" s="52"/>
      <x:c r="F242" s="52" t="n">
        <x:v>7</x:v>
      </x:c>
      <x:c r="G242" s="52" t="str">
        <x:v>Graduate Diploma</x:v>
      </x:c>
      <x:c r="H242" s="52" t="str">
        <x:v>On campus / in-person (may include blended components)</x:v>
      </x:c>
      <x:c r="I242" s="52" t="str">
        <x:v>Yes — provider publishes international/on-campus availability</x:v>
      </x:c>
      <x:c r="J242" s="52" t="str">
        <x:v>Hamilton Rotokauri Campus</x:v>
      </x:c>
      <x:c r="K242" s="52" t="str">
        <x:v>One year Full-time or Part-time</x:v>
      </x:c>
      <x:c r="L242" s="52"/>
      <x:c r="M242" s="52" t="str">
        <x:v>Feb 2027</x:v>
      </x:c>
      <x:c r="N242" s="52" t="str">
        <x:v>$31,400</x:v>
      </x:c>
      <x:c r="O242" s="52" t="str">
        <x:v>2026 international fees flyer</x:v>
      </x:c>
      <x:c r="P242" s="52" t="str">
        <x:v>2026</x:v>
      </x:c>
      <x:c r="Q242" s="52" t="str">
        <x:v>Not published; 2026 fee shown only</x:v>
      </x:c>
      <x:c r="R242" s="52" t="str">
        <x:v>Pathways Your First Day Prospectus (Course Guide) Portfolio Need Help? Course details Feb 2027 One year Full-time or Part-time $9,019* You may qualify for fee-free study under the Fees Free Policy Level 7 Available for International Students. International Fee Guideline Hamilton Rotokauri Campus Summary This programme is for engineering graduates and working engineering professionals wishing to gain further specialist knowledge in an additional discipline area. The programme also offers the opportunity for those candidates with a relevant engineering background and experience who may wish to gain a formal qualification to recognise that experience. The programme has strands in mechanical and highway engineering.A 30-credit Engineering Development Project is included, which may be research </x:v>
      </x:c>
      <x:c r="S242" s="52" t="str">
        <x:v>Candidates who have English as a second language are required to have an International English Language Test System (IELTS) score of 6.0 with 6.0 writing, 6.0 speaking, 5.5 reading, 5.5 listening; or equivalent or PTE: (Academic) score of 50 for overall , with 50 for writing and speaking and no band score lower than 42 for reading and listening or NZCEL: Level 4 (Academic). Want to see full details of the entry criteria? VIEW PROGRAMME REGULATIONS Don't meet the entry criteria? CONTACT US Pathways To check what you need to gain direct entry to a course, review the entry criteria available on each programme page. These assist you in understand</x:v>
      </x:c>
      <x:c r="T242" s="52"/>
      <x:c r="U242" s="52" t="str">
        <x:v>No programme-specific international scholarship confirmed on the live page.</x:v>
      </x:c>
      <x:c r="V242" s="58" t="str">
        <x:v>https://www.wintec.ac.nz/study-at-wintec/courses/engineering-and-built-environment/graduate-diploma-in-engineering-technology</x:v>
      </x:c>
      <x:c r="W242" s="58" t="str">
        <x:v>https://www.wintec.ac.nz/international</x:v>
      </x:c>
      <x:c r="X242" s="52" t="str">
        <x:v>2026-07-29</x:v>
      </x:c>
      <x:c r="Y242" s="52" t="str">
        <x:v>Double-checked: live programme page + official international source</x:v>
      </x:c>
      <x:c r="Z242" s="52" t="str">
        <x:v>Domestic fee shown elsewhere on the page is ignored; international fee guideline controls this field.</x:v>
      </x:c>
      <x:c r="AA242" s="52"/>
      <x:c r="AB242" s="52" t="str">
        <x:v>Published by provider</x:v>
      </x:c>
      <x:c r="AC242" s="53" t="str">
        <x:v>Feb 2027</x:v>
      </x:c>
    </x:row>
    <x:row r="243" ht="48" customHeight="1">
      <x:c r="A243" s="45" t="str">
        <x:v>Waikato Institute of Technology</x:v>
      </x:c>
      <x:c r="B243" s="46" t="str">
        <x:v>Wintec</x:v>
      </x:c>
      <x:c r="C243" s="46" t="str">
        <x:v>Engineering</x:v>
      </x:c>
      <x:c r="D243" s="46" t="str">
        <x:v>New Zealand Diploma in Engineering (Civil)</x:v>
      </x:c>
      <x:c r="E243" s="46"/>
      <x:c r="F243" s="46" t="n">
        <x:v>6</x:v>
      </x:c>
      <x:c r="G243" s="46" t="str">
        <x:v>Diploma</x:v>
      </x:c>
      <x:c r="H243" s="46" t="str">
        <x:v>On campus / in-person (may include blended components)</x:v>
      </x:c>
      <x:c r="I243" s="46" t="str">
        <x:v>Yes — provider publishes international/on-campus availability</x:v>
      </x:c>
      <x:c r="J243" s="46" t="str">
        <x:v>Hamilton Rotokauri Campus</x:v>
      </x:c>
      <x:c r="K243" s="46" t="str">
        <x:v>Two years Full-time or Part-time</x:v>
      </x:c>
      <x:c r="L243" s="46"/>
      <x:c r="M243" s="46" t="str">
        <x:v>Feb 2027</x:v>
      </x:c>
      <x:c r="N243" s="46" t="str">
        <x:v>$29,800</x:v>
      </x:c>
      <x:c r="O243" s="46" t="str">
        <x:v>2026 international fees flyer</x:v>
      </x:c>
      <x:c r="P243" s="46" t="str">
        <x:v>2026</x:v>
      </x:c>
      <x:c r="Q243" s="46" t="str">
        <x:v>Not published; 2026 fee shown only</x:v>
      </x:c>
      <x:c r="R243" s="46" t="str">
        <x:v>Pathways Your First Day Prospectus (Course Guide) Portfolio Need Help? Course details Jul 2026 Feb 2027 Two years Full-time or Part-time $9,019* per year Level 6 Available for International Students. International Fee Guideline Hamilton Rotokauri Campus Summary Students will learn the core knowledge and practical skills required to meet the increasing demands and needs of the civil engineering industry.This two-year programme will provide students with theoretical and technical knowledge to apply practical solutions to the design, construction, and maintenance of civil engineering infrastructure, from roads and bridges to harbours and water and wastewater facilities.This engineering programme is accredited by Engineering New Zealand, a signatory of the Dublin Accord, meaning it is highly r</x:v>
      </x:c>
      <x:c r="S243" s="46" t="str">
        <x:v>Candidates who have English as a second language are required to have an International English Language Test System (IELTS) score of 6.0, with no individual band score lower than 5.5;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x:v>
      </x:c>
      <x:c r="T243" s="46"/>
      <x:c r="U243" s="46" t="str">
        <x:v>No programme-specific international scholarship confirmed on the live page.</x:v>
      </x:c>
      <x:c r="V243" s="59" t="str">
        <x:v>https://www.wintec.ac.nz/study-at-wintec/courses/engineering-and-built-environment/new-zealand-diploma-in-engineering-(civil)-(level-6)</x:v>
      </x:c>
      <x:c r="W243" s="59" t="str">
        <x:v>https://www.wintec.ac.nz/international</x:v>
      </x:c>
      <x:c r="X243" s="46" t="str">
        <x:v>2026-07-29</x:v>
      </x:c>
      <x:c r="Y243" s="46" t="str">
        <x:v>Double-checked: live programme page + official international source</x:v>
      </x:c>
      <x:c r="Z243" s="46" t="str">
        <x:v>Domestic fee shown elsewhere on the page is ignored; international fee guideline controls this field.</x:v>
      </x:c>
      <x:c r="AA243" s="46"/>
      <x:c r="AB243" s="46" t="str">
        <x:v>Published by provider</x:v>
      </x:c>
      <x:c r="AC243" s="47" t="str">
        <x:v>Feb 2027</x:v>
      </x:c>
    </x:row>
    <x:row r="244" ht="48" customHeight="1">
      <x:c r="A244" s="51" t="str">
        <x:v>Waikato Institute of Technology</x:v>
      </x:c>
      <x:c r="B244" s="52" t="str">
        <x:v>Wintec</x:v>
      </x:c>
      <x:c r="C244" s="52" t="str">
        <x:v>Engineering</x:v>
      </x:c>
      <x:c r="D244" s="52" t="str">
        <x:v>New Zealand Diploma in Engineering (Electrical)</x:v>
      </x:c>
      <x:c r="E244" s="52"/>
      <x:c r="F244" s="52" t="n">
        <x:v>6</x:v>
      </x:c>
      <x:c r="G244" s="52" t="str">
        <x:v>Diploma</x:v>
      </x:c>
      <x:c r="H244" s="52" t="str">
        <x:v>On campus / in-person (may include blended components)</x:v>
      </x:c>
      <x:c r="I244" s="52" t="str">
        <x:v>Yes — provider publishes international/on-campus availability</x:v>
      </x:c>
      <x:c r="J244" s="52" t="str">
        <x:v>Hamilton Rotokauri Campus</x:v>
      </x:c>
      <x:c r="K244" s="52" t="str">
        <x:v>Two years</x:v>
      </x:c>
      <x:c r="L244" s="52"/>
      <x:c r="M244" s="52" t="str">
        <x:v>Feb 2027</x:v>
      </x:c>
      <x:c r="N244" s="52" t="str">
        <x:v>$29,800</x:v>
      </x:c>
      <x:c r="O244" s="52" t="str">
        <x:v>2026 international fees flyer</x:v>
      </x:c>
      <x:c r="P244" s="52" t="str">
        <x:v>2026</x:v>
      </x:c>
      <x:c r="Q244" s="52" t="str">
        <x:v>Not published; 2026 fee shown only</x:v>
      </x:c>
      <x:c r="R244" s="52" t="str">
        <x:v>Pathways Your First Day Prospectus (Course Guide) Portfolio Need Help? Course details Jul 2026 Feb 2027 Two years $8,508* per year Level 6 Available for International Students. International Fee Guideline Hamilton Rotokauri Campus Summary Learning core skills and practical knowledge in a hands-on environment, students will develop electrical engineering theory, principles, and practices required to meet industry needs and demands. This can be across areas such as the power industry, industrial automation, and consumer products.This engineering programme is accredited by Engineering New Zealand, a signatory of the Dublin Accord, meaning it is highly respected and recognised both nationally and internationally. What you will learnComputer-based training is used alongside tutor-led learning t</x:v>
      </x:c>
      <x:c r="S244" s="52" t="str">
        <x:v>Candidates who have English as a second language are required to have an International English Language Test System (IELTS) score of 6.0, with no individual band score lower than 5.5;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x:v>
      </x:c>
      <x:c r="T244" s="52"/>
      <x:c r="U244" s="52" t="str">
        <x:v>No programme-specific international scholarship confirmed on the live page.</x:v>
      </x:c>
      <x:c r="V244" s="58" t="str">
        <x:v>https://www.wintec.ac.nz/study-at-wintec/courses/engineering-and-built-environment/new-zealand-diploma-in-engineering-(electrical)-(level-6)</x:v>
      </x:c>
      <x:c r="W244" s="58" t="str">
        <x:v>https://www.wintec.ac.nz/international</x:v>
      </x:c>
      <x:c r="X244" s="52" t="str">
        <x:v>2026-07-29</x:v>
      </x:c>
      <x:c r="Y244" s="52" t="str">
        <x:v>Double-checked: live programme page + official international source</x:v>
      </x:c>
      <x:c r="Z244" s="52" t="str">
        <x:v>Domestic fee shown elsewhere on the page is ignored; international fee guideline controls this field.</x:v>
      </x:c>
      <x:c r="AA244" s="52"/>
      <x:c r="AB244" s="52" t="str">
        <x:v>Published by provider</x:v>
      </x:c>
      <x:c r="AC244" s="53" t="str">
        <x:v>Feb 2027</x:v>
      </x:c>
    </x:row>
    <x:row r="245" ht="48" customHeight="1">
      <x:c r="A245" s="45" t="str">
        <x:v>Waikato Institute of Technology</x:v>
      </x:c>
      <x:c r="B245" s="46" t="str">
        <x:v>Wintec</x:v>
      </x:c>
      <x:c r="C245" s="46" t="str">
        <x:v>Engineering</x:v>
      </x:c>
      <x:c r="D245" s="46" t="str">
        <x:v>New Zealand Diploma in Engineering (Mechanical)</x:v>
      </x:c>
      <x:c r="E245" s="46"/>
      <x:c r="F245" s="46" t="n">
        <x:v>6</x:v>
      </x:c>
      <x:c r="G245" s="46" t="str">
        <x:v>Diploma</x:v>
      </x:c>
      <x:c r="H245" s="46" t="str">
        <x:v>On campus / in-person (may include blended components)</x:v>
      </x:c>
      <x:c r="I245" s="46" t="str">
        <x:v>Yes — provider publishes international/on-campus availability</x:v>
      </x:c>
      <x:c r="J245" s="46" t="str">
        <x:v>Hamilton Rotokauri Campus</x:v>
      </x:c>
      <x:c r="K245" s="46" t="str">
        <x:v>Two years Full-time or Part-time</x:v>
      </x:c>
      <x:c r="L245" s="46"/>
      <x:c r="M245" s="46" t="str">
        <x:v>Feb 2027</x:v>
      </x:c>
      <x:c r="N245" s="46" t="str">
        <x:v>$29,800</x:v>
      </x:c>
      <x:c r="O245" s="46" t="str">
        <x:v>2026 international fees flyer</x:v>
      </x:c>
      <x:c r="P245" s="46" t="str">
        <x:v>2026</x:v>
      </x:c>
      <x:c r="Q245" s="46" t="str">
        <x:v>Not published; 2026 fee shown only</x:v>
      </x:c>
      <x:c r="R245" s="46" t="str">
        <x:v>Pathways Your First Day Prospectus (Course Guide) Portfolio Need Help? Course details Jul 2026 Feb 2027 Two years Full-time or Part-time $8,508* per year Level 6 Available for International Students. International Fee Guideline Hamilton Rotokauri Campus Note: July intake duration is 2.5 years due to module structure. Summary Students will learn the core knowledge and practical skills required to meet industry needs in their chosen engineering strand.At Wintec, it is not just about theory; it is about developing the skills students need to actually do the job, so hands-on laboratory work reinforces theory taught in classrooms. Students will learn how to design products, how components work, the materials they are made from and how to manufacture them. Then, using SolidWorks, students will l</x:v>
      </x:c>
      <x:c r="S245" s="46" t="str">
        <x:v>Candidates who have English as a second language are required to have an International English Language Test System (IELTS) score of 6.0, with no individual band score lower than 5.5;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x:v>
      </x:c>
      <x:c r="T245" s="46"/>
      <x:c r="U245" s="46" t="str">
        <x:v>No programme-specific international scholarship confirmed on the live page.</x:v>
      </x:c>
      <x:c r="V245" s="59" t="str">
        <x:v>https://www.wintec.ac.nz/study-at-wintec/courses/engineering-and-built-environment/new-zealand-diploma-in-engineering-(mechanical)-(level-6)</x:v>
      </x:c>
      <x:c r="W245" s="59" t="str">
        <x:v>https://www.wintec.ac.nz/international</x:v>
      </x:c>
      <x:c r="X245" s="46" t="str">
        <x:v>2026-07-29</x:v>
      </x:c>
      <x:c r="Y245" s="46" t="str">
        <x:v>Double-checked: live programme page + official international source</x:v>
      </x:c>
      <x:c r="Z245" s="46" t="str">
        <x:v>Domestic fee shown elsewhere on the page is ignored; international fee guideline controls this field.</x:v>
      </x:c>
      <x:c r="AA245" s="46"/>
      <x:c r="AB245" s="46" t="str">
        <x:v>Published by provider</x:v>
      </x:c>
      <x:c r="AC245" s="47" t="str">
        <x:v>Feb 2027</x:v>
      </x:c>
    </x:row>
    <x:row r="246" ht="48" customHeight="1">
      <x:c r="A246" s="51" t="str">
        <x:v>Waikato Institute of Technology</x:v>
      </x:c>
      <x:c r="B246" s="52" t="str">
        <x:v>Wintec</x:v>
      </x:c>
      <x:c r="C246" s="52" t="str">
        <x:v>English Language</x:v>
      </x:c>
      <x:c r="D246" s="52" t="str">
        <x:v>New Zealand Certificate in English Language (Academic) (Level 5)</x:v>
      </x:c>
      <x:c r="E246" s="52"/>
      <x:c r="F246" s="52" t="n">
        <x:v>5</x:v>
      </x:c>
      <x:c r="G246" s="52" t="str">
        <x:v>Certificate</x:v>
      </x:c>
      <x:c r="H246" s="52" t="str">
        <x:v>On campus / in-person (may include blended components)</x:v>
      </x:c>
      <x:c r="I246" s="52" t="str">
        <x:v>Yes — provider publishes international/on-campus availability</x:v>
      </x:c>
      <x:c r="J246" s="52" t="str">
        <x:v>Hamilton City Campus</x:v>
      </x:c>
      <x:c r="K246" s="52" t="str">
        <x:v>17 weeks Full-time</x:v>
      </x:c>
      <x:c r="L246" s="52"/>
      <x:c r="M246" s="52" t="str">
        <x:v>Feb 2027</x:v>
      </x:c>
      <x:c r="N246" s="52" t="str">
        <x:v>$8,500</x:v>
      </x:c>
      <x:c r="O246" s="52" t="str">
        <x:v>2026 international fees flyer</x:v>
      </x:c>
      <x:c r="P246" s="52" t="str">
        <x:v>2026</x:v>
      </x:c>
      <x:c r="Q246" s="52" t="str">
        <x:v>Not published; 2026 fee shown only</x:v>
      </x:c>
      <x:c r="R246" s="52" t="str">
        <x:v>Pathways Your First Day Prospectus (Course Guide) Portfolio Need Help? Course details Jul 2026 Feb 2027 17 weeks Full-time Fees-free for New Zealand residents and citizens (usually $4,124)* Level 5 Available for International Students. International Fee Guideline Hamilton City Campus Summary This programme will prepare students for higher-level study, training, and/or employment in New Zealand. Students will consolidate oral and written English language skills to use and understand complex English for a wide range of situations and will expand their face-to-face, independent, and online learning study skills. View programme modules Module code Module name LevelCredits Pre-requisites Co-requisites LANG500(Academic) (Level 5) - Listening515 LANG501LANG502LANG503LANG501(Academic) (Level 5) - </x:v>
      </x:c>
      <x:c r="S246" s="52" t="str">
        <x:v>overall IELTS score of 6.0 with no individual band score lower than 5.5, or equivalent; ord) Candidates must take part in a selection interview and will be required to take a placement test to</x:v>
      </x:c>
      <x:c r="T246" s="52"/>
      <x:c r="U246" s="52" t="str">
        <x:v>No programme-specific international scholarship confirmed on the live page.</x:v>
      </x:c>
      <x:c r="V246" s="58" t="str">
        <x:v>https://www.wintec.ac.nz/study-at-wintec/courses/english/new-zealand-certificate-in-english-language-(level-5)</x:v>
      </x:c>
      <x:c r="W246" s="58" t="str">
        <x:v>https://www.wintec.ac.nz/international</x:v>
      </x:c>
      <x:c r="X246" s="52" t="str">
        <x:v>2026-07-29</x:v>
      </x:c>
      <x:c r="Y246" s="52" t="str">
        <x:v>Double-checked: live programme page + official international source</x:v>
      </x:c>
      <x:c r="Z246" s="52" t="str">
        <x:v>Domestic fee shown elsewhere on the page is ignored; international fee guideline controls this field.</x:v>
      </x:c>
      <x:c r="AA246" s="52"/>
      <x:c r="AB246" s="52" t="str">
        <x:v>Published by provider</x:v>
      </x:c>
      <x:c r="AC246" s="53" t="str">
        <x:v>Feb 2027</x:v>
      </x:c>
    </x:row>
    <x:row r="247" ht="48" customHeight="1">
      <x:c r="A247" s="45" t="str">
        <x:v>Waikato Institute of Technology</x:v>
      </x:c>
      <x:c r="B247" s="46" t="str">
        <x:v>Wintec</x:v>
      </x:c>
      <x:c r="C247" s="46" t="str">
        <x:v>English Language</x:v>
      </x:c>
      <x:c r="D247" s="46" t="str">
        <x:v>New Zealand Certificate in English Language (Academic) (Level 4)</x:v>
      </x:c>
      <x:c r="E247" s="46"/>
      <x:c r="F247" s="46" t="n">
        <x:v>4</x:v>
      </x:c>
      <x:c r="G247" s="46" t="str">
        <x:v>Certificate</x:v>
      </x:c>
      <x:c r="H247" s="46" t="str">
        <x:v>On campus / in-person (may include blended components)</x:v>
      </x:c>
      <x:c r="I247" s="46" t="str">
        <x:v>Yes — provider publishes international/on-campus availability</x:v>
      </x:c>
      <x:c r="J247" s="46" t="str">
        <x:v>Hamilton City Campus</x:v>
      </x:c>
      <x:c r="K247" s="46" t="str">
        <x:v>17 weeks Full-time</x:v>
      </x:c>
      <x:c r="L247" s="46"/>
      <x:c r="M247" s="46" t="str">
        <x:v>Feb 2027</x:v>
      </x:c>
      <x:c r="N247" s="46" t="str">
        <x:v>$8,500</x:v>
      </x:c>
      <x:c r="O247" s="46" t="str">
        <x:v>2026 international fees flyer</x:v>
      </x:c>
      <x:c r="P247" s="46" t="str">
        <x:v>2026</x:v>
      </x:c>
      <x:c r="Q247" s="46" t="str">
        <x:v>Not published; 2026 fee shown only</x:v>
      </x:c>
      <x:c r="R247" s="46" t="str">
        <x:v>Pathways Your First Day Prospectus (Course Guide) Portfolio Need Help? Course details Jul 2026 Feb 2027 17 weeks Full-time Fees-free for New Zealand residents and citizens (usually $4,124)* Level 4 Available for International Students. International Fee Guideline Hamilton City Campus Summary This programme will prepare students for higher tertiary study or training in New Zealand. Students will enhance their already proficient oral and written English language skills to understand and use more complex language in academic and workplace contexts, and for most situations in wider life.This programme is at a level comparable to the Common European Framework of Reference (CEFR) mid B2. View programme modules Note: no value in the pre/co-requisite columns means there are no pre/co-requisites fo</x:v>
      </x:c>
      <x:c r="S247" s="46" t="str">
        <x:v>overall IELTS score of 5.5 with no individual band score lower than 5.0, or equivalent; ord) Candidates must take part in a selection interview and will be required to take a placement test to</x:v>
      </x:c>
      <x:c r="T247" s="46"/>
      <x:c r="U247" s="46" t="str">
        <x:v>No programme-specific international scholarship confirmed on the live page.</x:v>
      </x:c>
      <x:c r="V247" s="59" t="str">
        <x:v>https://www.wintec.ac.nz/study-at-wintec/courses/english/new-zealand-certificate-in-english-language-(level-4)</x:v>
      </x:c>
      <x:c r="W247" s="59" t="str">
        <x:v>https://www.wintec.ac.nz/international</x:v>
      </x:c>
      <x:c r="X247" s="46" t="str">
        <x:v>2026-07-29</x:v>
      </x:c>
      <x:c r="Y247" s="46" t="str">
        <x:v>Double-checked: live programme page + official international source</x:v>
      </x:c>
      <x:c r="Z247" s="46" t="str">
        <x:v>Domestic fee shown elsewhere on the page is ignored; international fee guideline controls this field.</x:v>
      </x:c>
      <x:c r="AA247" s="46"/>
      <x:c r="AB247" s="46" t="str">
        <x:v>Published by provider</x:v>
      </x:c>
      <x:c r="AC247" s="47" t="str">
        <x:v>Feb 2027</x:v>
      </x:c>
    </x:row>
    <x:row r="248" ht="48" customHeight="1">
      <x:c r="A248" s="51" t="str">
        <x:v>Waikato Institute of Technology</x:v>
      </x:c>
      <x:c r="B248" s="52" t="str">
        <x:v>Wintec</x:v>
      </x:c>
      <x:c r="C248" s="52" t="str">
        <x:v>Health &amp; Nursing</x:v>
      </x:c>
      <x:c r="D248" s="52" t="str">
        <x:v>Master of Nursing Science (Pre-registration)</x:v>
      </x:c>
      <x:c r="E248" s="52"/>
      <x:c r="F248" s="52" t="n">
        <x:v>9</x:v>
      </x:c>
      <x:c r="G248" s="52" t="str">
        <x:v>Master's Degree</x:v>
      </x:c>
      <x:c r="H248" s="52" t="str">
        <x:v>On campus / in-person (may include blended components)</x:v>
      </x:c>
      <x:c r="I248" s="52" t="str">
        <x:v>Yes — provider publishes international/on-campus availability</x:v>
      </x:c>
      <x:c r="J248" s="52" t="str">
        <x:v>Hamilton City Campus</x:v>
      </x:c>
      <x:c r="K248" s="52" t="str">
        <x:v>Two years Full-time</x:v>
      </x:c>
      <x:c r="L248" s="52"/>
      <x:c r="M248" s="52" t="str">
        <x:v>Feb 2027</x:v>
      </x:c>
      <x:c r="N248" s="52" t="str">
        <x:v>$27,650–$29,200 (programme-specific 2026 flyer amount)</x:v>
      </x:c>
      <x:c r="O248" s="52" t="str">
        <x:v>2026 international fees flyer</x:v>
      </x:c>
      <x:c r="P248" s="52" t="str">
        <x:v>2026</x:v>
      </x:c>
      <x:c r="Q248" s="52" t="str">
        <x:v>Not published; 2026 fee shown only</x:v>
      </x:c>
      <x:c r="R248" s="52" t="str">
        <x:v>Pathways Your First Day Prospectus (Course Guide) Portfolio Need Help? Course details Feb 2027 Two years Full-time $9,019* per year Level 9 Available for International Students. International Fee Guideline Hamilton City Campus - block courses &amp; online Please note places on this programme are limited.We apply a selection process, which may include an interview. Please view the</x:v>
      </x:c>
      <x:c r="S248" s="52" t="str">
        <x:v>Candidates who have English as a second language are required to have an International English Language Test System (IELTS) score of 7.0 with no individual band score lower than 7.0;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fi</x:v>
      </x:c>
      <x:c r="T248" s="52"/>
      <x:c r="U248" s="52" t="str">
        <x:v>No programme-specific international scholarship confirmed on the live page.</x:v>
      </x:c>
      <x:c r="V248" s="58" t="str">
        <x:v>https://www.wintec.ac.nz/study-at-wintec/courses/health-and-wellbeing/nursing/master-of-nursing-science-pre-registration</x:v>
      </x:c>
      <x:c r="W248" s="58" t="str">
        <x:v>https://www.wintec.ac.nz/international</x:v>
      </x:c>
      <x:c r="X248" s="52" t="str">
        <x:v>2026-07-29</x:v>
      </x:c>
      <x:c r="Y248" s="52" t="str">
        <x:v>Double-checked: live programme page + official international source</x:v>
      </x:c>
      <x:c r="Z248" s="52" t="str">
        <x:v>Domestic fee shown elsewhere on the page is ignored; international fee guideline controls this field.</x:v>
      </x:c>
      <x:c r="AA248" s="52"/>
      <x:c r="AB248" s="52" t="str">
        <x:v>Published by provider</x:v>
      </x:c>
      <x:c r="AC248" s="53" t="str">
        <x:v>Feb 2027</x:v>
      </x:c>
    </x:row>
    <x:row r="249" ht="48" customHeight="1">
      <x:c r="A249" s="45" t="str">
        <x:v>Waikato Institute of Technology</x:v>
      </x:c>
      <x:c r="B249" s="46" t="str">
        <x:v>Wintec</x:v>
      </x:c>
      <x:c r="C249" s="46" t="str">
        <x:v>Health &amp; Nursing</x:v>
      </x:c>
      <x:c r="D249" s="46" t="str">
        <x:v>Postgraduate Diploma in Health and Social Practice</x:v>
      </x:c>
      <x:c r="E249" s="46"/>
      <x:c r="F249" s="46" t="n">
        <x:v>8</x:v>
      </x:c>
      <x:c r="G249" s="46" t="str">
        <x:v>Postgraduate Diploma</x:v>
      </x:c>
      <x:c r="H249" s="46" t="str">
        <x:v>On campus / in-person (may include blended components)</x:v>
      </x:c>
      <x:c r="I249" s="46" t="str">
        <x:v>Yes — provider publishes international/on-campus availability</x:v>
      </x:c>
      <x:c r="J249" s="46" t="str">
        <x:v>Hamilton City Campus</x:v>
      </x:c>
      <x:c r="K249" s="46" t="str">
        <x:v>One year Full-time or Part-time</x:v>
      </x:c>
      <x:c r="L249" s="46"/>
      <x:c r="M249" s="46" t="str">
        <x:v>Feb 2027</x:v>
      </x:c>
      <x:c r="N249" s="46" t="str">
        <x:v>$29,200</x:v>
      </x:c>
      <x:c r="O249" s="46" t="str">
        <x:v>2026 international fees flyer</x:v>
      </x:c>
      <x:c r="P249" s="46" t="str">
        <x:v>2026</x:v>
      </x:c>
      <x:c r="Q249" s="46" t="str">
        <x:v>Not published; 2026 fee shown only</x:v>
      </x:c>
      <x:c r="R249" s="46" t="str">
        <x:v>Pathways Your First Day Prospectus (Course Guide) Portfolio Need Help? Course details Feb 2027 One year Full-time or Part-time Fee dependent on modules selected Level 8 Available for International Students. International Fee Guideline Hamilton City Campus Summary This programme is designed to extend and deepen an individual’s professional practice and apply an advanced body of knowledge in a range of fields of health and social practice which include, but is not limited to physiotherapy, occupational therapy, nursing, midwifery, social work, counselling and human services. It will offer learning opportunities designed to inform your practice and develop valued knowledge in Treaty-based practice. You will learn and grow professionally while undertaking interactive and experiential-based edu</x:v>
      </x:c>
      <x:c r="S249" s="46" t="str">
        <x:v>Candidates whose first language is neither English nor Māori are required to have score of 7 or better in all bands of the academic International English Language Test Score (IELTS), or PTE: (Academic) score of 65 with no band score lower than 65 or NZCEL: Level 5 and will be required to demonstrate the likelihood of being able to successfully achieve programme learning. Click here to view the Internationally Recognised English Proficiency Outcomes for International Students Table. Want to see full details of the entry criteria? VIEW PROGRAMME REGULATIONS Don't meet the entry criteria? CONTACT US Pathways To check what you need to gain direct</x:v>
      </x:c>
      <x:c r="T249" s="46"/>
      <x:c r="U249" s="46" t="str">
        <x:v>No programme-specific international scholarship confirmed on the live page.</x:v>
      </x:c>
      <x:c r="V249" s="59" t="str">
        <x:v>https://www.wintec.ac.nz/study-at-wintec/courses/health-and-wellbeing/postgraduate-diploma-in-health-and-social-practice-(level-8)</x:v>
      </x:c>
      <x:c r="W249" s="59" t="str">
        <x:v>https://www.wintec.ac.nz/international</x:v>
      </x:c>
      <x:c r="X249" s="46" t="str">
        <x:v>2026-07-29</x:v>
      </x:c>
      <x:c r="Y249" s="46" t="str">
        <x:v>Double-checked: live programme page + official international source</x:v>
      </x:c>
      <x:c r="Z249" s="46" t="str">
        <x:v>Domestic fee shown elsewhere on the page is ignored; international fee guideline controls this field.</x:v>
      </x:c>
      <x:c r="AA249" s="46"/>
      <x:c r="AB249" s="46" t="str">
        <x:v>Published by provider</x:v>
      </x:c>
      <x:c r="AC249" s="47" t="str">
        <x:v>Feb 2027</x:v>
      </x:c>
    </x:row>
    <x:row r="250" ht="48" customHeight="1">
      <x:c r="A250" s="51" t="str">
        <x:v>Waikato Institute of Technology</x:v>
      </x:c>
      <x:c r="B250" s="52" t="str">
        <x:v>Wintec</x:v>
      </x:c>
      <x:c r="C250" s="52" t="str">
        <x:v>Health &amp; Nursing</x:v>
      </x:c>
      <x:c r="D250" s="52" t="str">
        <x:v>Bachelor of Midwifery</x:v>
      </x:c>
      <x:c r="E250" s="52"/>
      <x:c r="F250" s="52" t="n">
        <x:v>7</x:v>
      </x:c>
      <x:c r="G250" s="52" t="str">
        <x:v>Bachelor's Degree</x:v>
      </x:c>
      <x:c r="H250" s="52" t="str">
        <x:v>On campus / in-person (may include blended components)</x:v>
      </x:c>
      <x:c r="I250" s="52" t="str">
        <x:v>Yes — provider publishes international/on-campus availability</x:v>
      </x:c>
      <x:c r="J250" s="52" t="str">
        <x:v>Hamilton (campus stated on programme page)</x:v>
      </x:c>
      <x:c r="K250" s="52" t="str">
        <x:v>Four years Full-time</x:v>
      </x:c>
      <x:c r="L250" s="52"/>
      <x:c r="M250" s="52" t="str">
        <x:v>Feb 2027</x:v>
      </x:c>
      <x:c r="N250" s="52" t="str">
        <x:v>$29,800</x:v>
      </x:c>
      <x:c r="O250" s="52" t="str">
        <x:v>2026 international fees flyer</x:v>
      </x:c>
      <x:c r="P250" s="52" t="str">
        <x:v>2026</x:v>
      </x:c>
      <x:c r="Q250" s="52" t="str">
        <x:v>Not published; 2026 fee shown only</x:v>
      </x:c>
      <x:c r="R250" s="52" t="str">
        <x:v>Pathways Your First Day Prospectus (Course Guide) Portfolio Need Help? Course details Feb 2027 Four years Full-time $8,508* per year + Additional Costs You may qualify for fee-free study under the Fees Free Policy Level 7 Available for International Students. International Fee Guideline Gisborne, Hamilton City Campus, Hawke's Bay, Rotorua, Tauranga or Whakatane On-campus block courses are held at our Hamilton City Campus. Attendance at these block courses is compulsory for all students. Further compulsory attendance is required on scheduled Education Fridays at either one of the Wintec regional hubs (Tauranga, Rotorua, Hawkes Bay, Whakatane, and Gisborne) or the Hamilton City Campus.Please note that places on this programme are limited.</x:v>
      </x:c>
      <x:c r="S250" s="52" t="str">
        <x:v>Candidates who have English as an additional language are required to achieve in the International English Language Test System (IELTS) (academic version) with an overall score of 7.0 with not less than 6.5 in writing and comprehension; and not less than 7.0 in speaking and listening. A pass in the Occupational English Test (OET) is either A or B in each section. These scores must be achieved in one sitting of the IELTS or OET test. What happens if I do not meet the entry criteria?There are pathways to help you get where you want to be. You could start with the Te Ara Pūtake My Academic Pathway, or if you need to brush up on your science know</x:v>
      </x:c>
      <x:c r="T250" s="52"/>
      <x:c r="U250" s="52" t="str">
        <x:v>No programme-specific international scholarship confirmed on the live page.</x:v>
      </x:c>
      <x:c r="V250" s="58" t="str">
        <x:v>https://www.wintec.ac.nz/study-at-wintec/courses/health-and-wellbeing/midwifery/bachelor-of-midwifery</x:v>
      </x:c>
      <x:c r="W250" s="58" t="str">
        <x:v>https://www.wintec.ac.nz/international</x:v>
      </x:c>
      <x:c r="X250" s="52" t="str">
        <x:v>2026-07-29</x:v>
      </x:c>
      <x:c r="Y250" s="52" t="str">
        <x:v>Double-checked: live programme page + official international source</x:v>
      </x:c>
      <x:c r="Z250" s="52" t="str">
        <x:v>Domestic fee shown elsewhere on the page is ignored; international fee guideline controls this field.</x:v>
      </x:c>
      <x:c r="AA250" s="52"/>
      <x:c r="AB250" s="52" t="str">
        <x:v>Published by provider</x:v>
      </x:c>
      <x:c r="AC250" s="53" t="str">
        <x:v>Feb 2027</x:v>
      </x:c>
    </x:row>
    <x:row r="251" ht="48" customHeight="1">
      <x:c r="A251" s="45" t="str">
        <x:v>Waikato Institute of Technology</x:v>
      </x:c>
      <x:c r="B251" s="46" t="str">
        <x:v>Wintec</x:v>
      </x:c>
      <x:c r="C251" s="46" t="str">
        <x:v>Health &amp; Nursing</x:v>
      </x:c>
      <x:c r="D251" s="46" t="str">
        <x:v>Bachelor of Nursing (Level 7)</x:v>
      </x:c>
      <x:c r="E251" s="46"/>
      <x:c r="F251" s="46" t="n">
        <x:v>7</x:v>
      </x:c>
      <x:c r="G251" s="46" t="str">
        <x:v>Bachelor's Degree</x:v>
      </x:c>
      <x:c r="H251" s="46" t="str">
        <x:v>On campus / in-person (may include blended components)</x:v>
      </x:c>
      <x:c r="I251" s="46" t="str">
        <x:v>Yes — provider publishes international/on-campus availability</x:v>
      </x:c>
      <x:c r="J251" s="46" t="str">
        <x:v>Hamilton City Campus</x:v>
      </x:c>
      <x:c r="K251" s="46" t="str">
        <x:v>Three years Full-time or Part-time</x:v>
      </x:c>
      <x:c r="L251" s="46"/>
      <x:c r="M251" s="46" t="str">
        <x:v>Feb 2027</x:v>
      </x:c>
      <x:c r="N251" s="46" t="str">
        <x:v>$29,800</x:v>
      </x:c>
      <x:c r="O251" s="46" t="str">
        <x:v>2026 international fees flyer</x:v>
      </x:c>
      <x:c r="P251" s="46" t="str">
        <x:v>2026</x:v>
      </x:c>
      <x:c r="Q251" s="46" t="str">
        <x:v>Not published; 2026 fee shown only</x:v>
      </x:c>
      <x:c r="R251" s="46" t="str">
        <x:v>Pathways Your First Day Prospectus (Course Guide) Portfolio Need Help? Course details Jul 2026 Feb 2027 Three years Full-time or Part-time $9,019* per year + Additional Costs You may qualify for fee-free study under the Fees Free Policy Level 7 Available for International Students. International Fee Guideline Hamilton City Campus Please note that places on this programme are limited.</x:v>
      </x:c>
      <x:c r="S251" s="46" t="str">
        <x:v>Candidates who have English as a second language are required to have an International English Language Test System (IELTS) score of 6.5 across all bands;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first day Are you ready for y</x:v>
      </x:c>
      <x:c r="T251" s="46"/>
      <x:c r="U251" s="46" t="str">
        <x:v>No programme-specific international scholarship confirmed on the live page.</x:v>
      </x:c>
      <x:c r="V251" s="59" t="str">
        <x:v>https://www.wintec.ac.nz/study-at-wintec/courses/health-and-wellbeing/nursing/bachelor-of-nursing</x:v>
      </x:c>
      <x:c r="W251" s="59" t="str">
        <x:v>https://www.wintec.ac.nz/international</x:v>
      </x:c>
      <x:c r="X251" s="46" t="str">
        <x:v>2026-07-29</x:v>
      </x:c>
      <x:c r="Y251" s="46" t="str">
        <x:v>Double-checked: live programme page + official international source</x:v>
      </x:c>
      <x:c r="Z251" s="46" t="str">
        <x:v>Domestic fee shown elsewhere on the page is ignored; international fee guideline controls this field.</x:v>
      </x:c>
      <x:c r="AA251" s="46"/>
      <x:c r="AB251" s="46" t="str">
        <x:v>Published by provider</x:v>
      </x:c>
      <x:c r="AC251" s="47" t="str">
        <x:v>Feb 2027</x:v>
      </x:c>
    </x:row>
    <x:row r="252" ht="48" customHeight="1">
      <x:c r="A252" s="51" t="str">
        <x:v>Waikato Institute of Technology</x:v>
      </x:c>
      <x:c r="B252" s="52" t="str">
        <x:v>Wintec</x:v>
      </x:c>
      <x:c r="C252" s="52" t="str">
        <x:v>Health &amp; Nursing</x:v>
      </x:c>
      <x:c r="D252" s="52" t="str">
        <x:v>New Zealand Diploma in Veterinary Nursing (Level 6)</x:v>
      </x:c>
      <x:c r="E252" s="52"/>
      <x:c r="F252" s="52" t="n">
        <x:v>6</x:v>
      </x:c>
      <x:c r="G252" s="52" t="str">
        <x:v>Diploma</x:v>
      </x:c>
      <x:c r="H252" s="52" t="str">
        <x:v>On campus / in-person (may include blended components)</x:v>
      </x:c>
      <x:c r="I252" s="52" t="str">
        <x:v>Yes — provider publishes international/on-campus availability</x:v>
      </x:c>
      <x:c r="J252" s="52" t="str">
        <x:v>Hamilton Rotokauri Campus</x:v>
      </x:c>
      <x:c r="K252" s="52" t="str">
        <x:v>Two years Full-time</x:v>
      </x:c>
      <x:c r="L252" s="52"/>
      <x:c r="M252" s="52" t="str">
        <x:v>Feb 2027</x:v>
      </x:c>
      <x:c r="N252" s="52" t="str">
        <x:v>$29,800</x:v>
      </x:c>
      <x:c r="O252" s="52" t="str">
        <x:v>2026 international fees flyer</x:v>
      </x:c>
      <x:c r="P252" s="52" t="str">
        <x:v>2026</x:v>
      </x:c>
      <x:c r="Q252" s="52" t="str">
        <x:v>Not published; 2026 fee shown only</x:v>
      </x:c>
      <x:c r="R252" s="52" t="str">
        <x:v>Pathways Your First Day Prospectus (Course Guide) Portfolio Need Help? Course details Feb 2027 Two years Full-time $9,388* per year You may qualify for fee-free study under the Fees Free Policy Level 6 Available for International Students. International Fee Guideline Hamilton Rotokauri Campus Please note that places on this programme are limited.Semester 1 2026</x:v>
      </x:c>
      <x:c r="S252" s="52" t="str">
        <x:v>Candidates who have English as a second language are required to have an academic International English Language Test System (IELTS) Academic score of 6.0 with no individual band score lower than 5.5; or equivalent. Click the button below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x:v>
      </x:c>
      <x:c r="T252" s="52"/>
      <x:c r="U252" s="52" t="str">
        <x:v>No programme-specific international scholarship confirmed on the live page.</x:v>
      </x:c>
      <x:c r="V252" s="58" t="str">
        <x:v>https://www.wintec.ac.nz/study-at-wintec/courses/animal-technology/new-zealand-diploma-in-veterinary-nursing(level-6)</x:v>
      </x:c>
      <x:c r="W252" s="58" t="str">
        <x:v>https://www.wintec.ac.nz/international</x:v>
      </x:c>
      <x:c r="X252" s="52" t="str">
        <x:v>2026-07-29</x:v>
      </x:c>
      <x:c r="Y252" s="52" t="str">
        <x:v>Double-checked: live programme page + official international source</x:v>
      </x:c>
      <x:c r="Z252" s="52" t="str">
        <x:v>Domestic fee shown elsewhere on the page is ignored; international fee guideline controls this field.</x:v>
      </x:c>
      <x:c r="AA252" s="52"/>
      <x:c r="AB252" s="52" t="str">
        <x:v>Published by provider</x:v>
      </x:c>
      <x:c r="AC252" s="53" t="str">
        <x:v>Feb 2027</x:v>
      </x:c>
    </x:row>
    <x:row r="253" ht="48" customHeight="1">
      <x:c r="A253" s="45" t="str">
        <x:v>Waikato Institute of Technology</x:v>
      </x:c>
      <x:c r="B253" s="46" t="str">
        <x:v>Wintec</x:v>
      </x:c>
      <x:c r="C253" s="46" t="str">
        <x:v>Health &amp; Nursing</x:v>
      </x:c>
      <x:c r="D253" s="46" t="str">
        <x:v>New Zealand Diploma in Enrolled Nursing</x:v>
      </x:c>
      <x:c r="E253" s="46"/>
      <x:c r="F253" s="46" t="n">
        <x:v>5</x:v>
      </x:c>
      <x:c r="G253" s="46" t="str">
        <x:v>Diploma</x:v>
      </x:c>
      <x:c r="H253" s="46" t="str">
        <x:v>On campus / in-person (may include blended components)</x:v>
      </x:c>
      <x:c r="I253" s="46" t="str">
        <x:v>Yes — provider publishes international/on-campus availability</x:v>
      </x:c>
      <x:c r="J253" s="46" t="str">
        <x:v>Hamilton City Campus</x:v>
      </x:c>
      <x:c r="K253" s="46" t="str">
        <x:v>18 months Full-time or Part-time</x:v>
      </x:c>
      <x:c r="L253" s="46"/>
      <x:c r="M253" s="46" t="str">
        <x:v>Feb 2027</x:v>
      </x:c>
      <x:c r="N253" s="46" t="str">
        <x:v>$29,800</x:v>
      </x:c>
      <x:c r="O253" s="46" t="str">
        <x:v>2026 international fees flyer</x:v>
      </x:c>
      <x:c r="P253" s="46" t="str">
        <x:v>2026</x:v>
      </x:c>
      <x:c r="Q253" s="46" t="str">
        <x:v>Not published; 2026 fee shown only</x:v>
      </x:c>
      <x:c r="R253" s="46" t="str">
        <x:v>Pathways Your First Day Prospectus (Course Guide) Portfolio Need Help? Course details Jul 2026 Feb 2027 18 months Full-time or Part-time $9,019* first year + Additional Costs Level 5 Available for International Students. International Fee Guideline Hamilton City Campus Please note that places on this programme are limited.</x:v>
      </x:c>
      <x:c r="S253" s="46" t="str">
        <x:v>Candidates who have English as a second language are required to have an International English Language Test System (IELTS) score of 6.5 in the academic band, (no lower than 6.5 in any subtest and must be taken from a single IELTS Test Report Form and are valid for two years from the date of the test).Note: The English Language requirements for this programme are higher than the minimum set by NZQA, therefore; applicants who have met New Zealand University Entrance may be required to provide evidence of English Language proficiency.PTE is not accepted for this programme as evidence of English language proficiency.The Head of Nursing can reque</x:v>
      </x:c>
      <x:c r="T253" s="46"/>
      <x:c r="U253" s="46" t="str">
        <x:v>No programme-specific international scholarship confirmed on the live page.</x:v>
      </x:c>
      <x:c r="V253" s="59" t="str">
        <x:v>https://www.wintec.ac.nz/study-at-wintec/courses/health-and-wellbeing/nursing/new-zealand-diploma-in-enrolled-nursing</x:v>
      </x:c>
      <x:c r="W253" s="59" t="str">
        <x:v>https://www.wintec.ac.nz/international</x:v>
      </x:c>
      <x:c r="X253" s="46" t="str">
        <x:v>2026-07-29</x:v>
      </x:c>
      <x:c r="Y253" s="46" t="str">
        <x:v>Double-checked: live programme page + official international source</x:v>
      </x:c>
      <x:c r="Z253" s="46" t="str">
        <x:v>Domestic fee shown elsewhere on the page is ignored; international fee guideline controls this field.</x:v>
      </x:c>
      <x:c r="AA253" s="46"/>
      <x:c r="AB253" s="46" t="str">
        <x:v>Published by provider</x:v>
      </x:c>
      <x:c r="AC253" s="47" t="str">
        <x:v>Feb 2027</x:v>
      </x:c>
    </x:row>
    <x:row r="254" ht="48" customHeight="1">
      <x:c r="A254" s="51" t="str">
        <x:v>Waikato Institute of Technology</x:v>
      </x:c>
      <x:c r="B254" s="52" t="str">
        <x:v>Wintec</x:v>
      </x:c>
      <x:c r="C254" s="52" t="str">
        <x:v>Health &amp; Nursing</x:v>
      </x:c>
      <x:c r="D254" s="52" t="str">
        <x:v>New Zealand Certificate in Animal Healthcare Assisting (Level 4)</x:v>
      </x:c>
      <x:c r="E254" s="52"/>
      <x:c r="F254" s="52" t="n">
        <x:v>4</x:v>
      </x:c>
      <x:c r="G254" s="52" t="str">
        <x:v>Certificate</x:v>
      </x:c>
      <x:c r="H254" s="52" t="str">
        <x:v>On campus / in-person (may include blended components)</x:v>
      </x:c>
      <x:c r="I254" s="52" t="str">
        <x:v>Yes — provider publishes international/on-campus availability</x:v>
      </x:c>
      <x:c r="J254" s="52" t="str">
        <x:v>Hamilton Rotokauri Campus</x:v>
      </x:c>
      <x:c r="K254" s="52" t="str">
        <x:v>One year Full-time</x:v>
      </x:c>
      <x:c r="L254" s="52"/>
      <x:c r="M254" s="52" t="str">
        <x:v>Feb 2027</x:v>
      </x:c>
      <x:c r="N254" s="52" t="str">
        <x:v>$26,600</x:v>
      </x:c>
      <x:c r="O254" s="52" t="str">
        <x:v>2026 international fees flyer</x:v>
      </x:c>
      <x:c r="P254" s="52" t="str">
        <x:v>2026</x:v>
      </x:c>
      <x:c r="Q254" s="52" t="str">
        <x:v>Not published; 2026 fee shown only</x:v>
      </x:c>
      <x:c r="R254" s="52" t="str">
        <x:v>Pathways Your First Day Prospectus (Course Guide) Portfolio Need Help? Course details Feb 2027 One year Full-time $7,780* You may qualify for fee-free study under the Fees Free Policy Level 4 Available for International Students. International Fee Guideline Hamilton Rotokauri Campus Please note places on this programme are limited.Semester 1 2026</x:v>
      </x:c>
      <x:c r="S254" s="52" t="str">
        <x:v>Candidates who have English as a second language are required to have an International English Language Test System (IELTS) general or academic score of 5.5 with no individual band score lower than 5.0; or equivalent. Click the button below to see full details of the entry criteria. VIEW PROGRAMME REGUALTIONS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x:v>
      </x:c>
      <x:c r="T254" s="52"/>
      <x:c r="U254" s="52" t="str">
        <x:v>No programme-specific international scholarship confirmed on the live page.</x:v>
      </x:c>
      <x:c r="V254" s="58" t="str">
        <x:v>https://www.wintec.ac.nz/study-at-wintec/courses/rural-animal-technology/rural-animal-healthcare</x:v>
      </x:c>
      <x:c r="W254" s="58" t="str">
        <x:v>https://www.wintec.ac.nz/international</x:v>
      </x:c>
      <x:c r="X254" s="52" t="str">
        <x:v>2026-07-29</x:v>
      </x:c>
      <x:c r="Y254" s="52" t="str">
        <x:v>Double-checked: live programme page + official international source</x:v>
      </x:c>
      <x:c r="Z254" s="52" t="str">
        <x:v>Domestic fee shown elsewhere on the page is ignored; international fee guideline controls this field.</x:v>
      </x:c>
      <x:c r="AA254" s="52"/>
      <x:c r="AB254" s="52" t="str">
        <x:v>Published by provider</x:v>
      </x:c>
      <x:c r="AC254" s="53" t="str">
        <x:v>Feb 2027</x:v>
      </x:c>
    </x:row>
    <x:row r="255" ht="48" customHeight="1">
      <x:c r="A255" s="45" t="str">
        <x:v>Waikato Institute of Technology</x:v>
      </x:c>
      <x:c r="B255" s="46" t="str">
        <x:v>Wintec</x:v>
      </x:c>
      <x:c r="C255" s="46" t="str">
        <x:v>Health &amp; Nursing</x:v>
      </x:c>
      <x:c r="D255" s="46" t="str">
        <x:v>New Zealand Certificate in Health and Wellbeing (Social and Community Services) (Level 4)</x:v>
      </x:c>
      <x:c r="E255" s="46"/>
      <x:c r="F255" s="46" t="n">
        <x:v>4</x:v>
      </x:c>
      <x:c r="G255" s="46" t="str">
        <x:v>Certificate</x:v>
      </x:c>
      <x:c r="H255" s="46" t="str">
        <x:v>On campus / in-person (may include blended components)</x:v>
      </x:c>
      <x:c r="I255" s="46" t="str">
        <x:v>Yes — provider publishes international/on-campus availability</x:v>
      </x:c>
      <x:c r="J255" s="46" t="str">
        <x:v>Hamilton City Campus</x:v>
      </x:c>
      <x:c r="K255" s="46" t="str">
        <x:v>One year Full-time</x:v>
      </x:c>
      <x:c r="L255" s="46"/>
      <x:c r="M255" s="46" t="str">
        <x:v>Feb 2027</x:v>
      </x:c>
      <x:c r="N255" s="46" t="str">
        <x:v>$26,600</x:v>
      </x:c>
      <x:c r="O255" s="46" t="str">
        <x:v>2026 international fees flyer</x:v>
      </x:c>
      <x:c r="P255" s="46" t="str">
        <x:v>2026</x:v>
      </x:c>
      <x:c r="Q255" s="46" t="str">
        <x:v>Not published; 2026 fee shown only</x:v>
      </x:c>
      <x:c r="R255" s="46" t="str">
        <x:v>Pathways Your First Day Prospectus (Course Guide) Portfolio Need Help? Course details Jul 2026 Feb 2027 One year Full-time $3,500* You may qualify for fee-free study under MPTT* or the Fees Free Policy Level 4 Available for International Students. International Fee Guideline Hamilton City Campus or Regional/Online delivery Summary This one-year health and wellbeing programme will provide students with the foundation knowledge, skills, and practical experience required to work alongside individuals, families, and whānau accessing social and community services.Students gain a wide range of transferable skills essential to the role of a support worker and select from one of the following strands to further strengthen their learning:Mental health and addiction support: Apply mental health and/</x:v>
      </x:c>
      <x:c r="S255" s="46" t="str">
        <x:v>Candidates who have English as a second language are required to have an academic International English Language Test System (IELTS) score of 5.5, with no individual band score lower than 5.0; or PTE: (Academic) score of 42 with no band score lower than 36 or NZCEL: Level 3 (Academic).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x:v>
      </x:c>
      <x:c r="T255" s="46"/>
      <x:c r="U255" s="46" t="str">
        <x:v>No programme-specific international scholarship confirmed on the live page.</x:v>
      </x:c>
      <x:c r="V255" s="59" t="str">
        <x:v>https://www.wintec.ac.nz/study-at-wintec/courses/health-and-wellbeing/new-zealand-certificate-in-health-and-wellbeing-(social-and-community-services)-(level-4)</x:v>
      </x:c>
      <x:c r="W255" s="59" t="str">
        <x:v>https://www.wintec.ac.nz/international</x:v>
      </x:c>
      <x:c r="X255" s="46" t="str">
        <x:v>2026-07-29</x:v>
      </x:c>
      <x:c r="Y255" s="46" t="str">
        <x:v>Double-checked: live programme page + official international source</x:v>
      </x:c>
      <x:c r="Z255" s="46" t="str">
        <x:v>Domestic fee shown elsewhere on the page is ignored; international fee guideline controls this field.</x:v>
      </x:c>
      <x:c r="AA255" s="46"/>
      <x:c r="AB255" s="46" t="str">
        <x:v>Published by provider</x:v>
      </x:c>
      <x:c r="AC255" s="47" t="str">
        <x:v>Feb 2027</x:v>
      </x:c>
    </x:row>
    <x:row r="256" ht="48" customHeight="1">
      <x:c r="A256" s="51" t="str">
        <x:v>Waikato Institute of Technology</x:v>
      </x:c>
      <x:c r="B256" s="52" t="str">
        <x:v>Wintec</x:v>
      </x:c>
      <x:c r="C256" s="52" t="str">
        <x:v>Hospitality &amp; Tourism</x:v>
      </x:c>
      <x:c r="D256" s="52" t="str">
        <x:v>New Zealand Diploma in Cookery (Advanced) (Level 5)</x:v>
      </x:c>
      <x:c r="E256" s="52"/>
      <x:c r="F256" s="52" t="n">
        <x:v>5</x:v>
      </x:c>
      <x:c r="G256" s="52" t="str">
        <x:v>Diploma</x:v>
      </x:c>
      <x:c r="H256" s="52" t="str">
        <x:v>On campus / in-person (may include blended components)</x:v>
      </x:c>
      <x:c r="I256" s="52" t="str">
        <x:v>Yes — provider publishes international/on-campus availability</x:v>
      </x:c>
      <x:c r="J256" s="52" t="str">
        <x:v>Hamilton Rotokauri Campus</x:v>
      </x:c>
      <x:c r="K256" s="52" t="str">
        <x:v>One year Full-time</x:v>
      </x:c>
      <x:c r="L256" s="52"/>
      <x:c r="M256" s="52" t="str">
        <x:v>Feb 2027</x:v>
      </x:c>
      <x:c r="N256" s="52" t="str">
        <x:v>$26,600</x:v>
      </x:c>
      <x:c r="O256" s="52" t="str">
        <x:v>2026 international fees flyer</x:v>
      </x:c>
      <x:c r="P256" s="52" t="str">
        <x:v>2026</x:v>
      </x:c>
      <x:c r="Q256" s="52" t="str">
        <x:v>Not published; 2026 fee shown only</x:v>
      </x:c>
      <x:c r="R256" s="52" t="str">
        <x:v>Pathways Your First Day Prospectus (Course Guide) Portfolio Need Help? Course details Feb 2027 One year Full-time $9,019* You may qualify for fee-free study under the Fees Free Policy Level 5 Available for International Students. International Fee Guideline Hamilton Rotokauri Campus Summary Take your culinary skills to the next level with the New Zealand Diploma in Cookery (Advanced) (Level 5). Designed for those who have completed a Level 4 Cookery qualification or have relevant industry experience, this programme develops advanced cookery techniques, leadership, and creative menu design within a professional kitchen setting.Through hands-on, on-campus learning, you’ll refine your technical ability, gain real-world experience, and showcase your creativity in a final Capstone event, where </x:v>
      </x:c>
      <x:c r="S256" s="52" t="str">
        <x:v>Applicants who have English as a second language are required to have an International English Language Test System (IELTS) score of 5.5, with no individual band score lower than 5.0; or PTE: (Academic) score of 42 with no band score lower than 36 or NZCEL: Level 4 (General). Click the button below to see full details of the entry criteria. VIEW PROGRAMME REGULATIONS Do not meet the entry criteria or need more information? CONTACT US Pathways To check what you need to gain direct entry to a course, review the entry criteria available on each programme page. These assist you in understanding what qualifications or experience are typically requ</x:v>
      </x:c>
      <x:c r="T256" s="52"/>
      <x:c r="U256" s="52" t="str">
        <x:v>No programme-specific international scholarship confirmed on the live page.</x:v>
      </x:c>
      <x:c r="V256" s="58" t="str">
        <x:v>https://www.wintec.ac.nz/study-at-wintec/courses/hospitality/new-zealand-diploma-in-cookery-(advanced)-(level-5)</x:v>
      </x:c>
      <x:c r="W256" s="58" t="str">
        <x:v>https://www.wintec.ac.nz/international</x:v>
      </x:c>
      <x:c r="X256" s="52" t="str">
        <x:v>2026-07-29</x:v>
      </x:c>
      <x:c r="Y256" s="52" t="str">
        <x:v>Double-checked: live programme page + official international source</x:v>
      </x:c>
      <x:c r="Z256" s="52" t="str">
        <x:v>Domestic fee shown elsewhere on the page is ignored; international fee guideline controls this field.</x:v>
      </x:c>
      <x:c r="AA256" s="52"/>
      <x:c r="AB256" s="52" t="str">
        <x:v>Published by provider</x:v>
      </x:c>
      <x:c r="AC256" s="53" t="str">
        <x:v>Feb 2027</x:v>
      </x:c>
    </x:row>
    <x:row r="257" ht="48" customHeight="1">
      <x:c r="A257" s="45" t="str">
        <x:v>Waikato Institute of Technology</x:v>
      </x:c>
      <x:c r="B257" s="46" t="str">
        <x:v>Wintec</x:v>
      </x:c>
      <x:c r="C257" s="46" t="str">
        <x:v>Other</x:v>
      </x:c>
      <x:c r="D257" s="46" t="str">
        <x:v>Postgraduate Certificate in Professional Supervision</x:v>
      </x:c>
      <x:c r="E257" s="46"/>
      <x:c r="F257" s="46" t="n">
        <x:v>8</x:v>
      </x:c>
      <x:c r="G257" s="46" t="str">
        <x:v>Postgraduate Certificate</x:v>
      </x:c>
      <x:c r="H257" s="46" t="str">
        <x:v>On campus / in-person (may include blended components)</x:v>
      </x:c>
      <x:c r="I257" s="46" t="str">
        <x:v>Yes — provider publishes international/on-campus availability</x:v>
      </x:c>
      <x:c r="J257" s="46" t="str">
        <x:v>Hamilton City Campus</x:v>
      </x:c>
      <x:c r="K257" s="46" t="str">
        <x:v>One year Part-time</x:v>
      </x:c>
      <x:c r="L257" s="46"/>
      <x:c r="M257" s="46" t="str">
        <x:v>Feb 2027</x:v>
      </x:c>
      <x:c r="N257" s="46" t="str">
        <x:v>$14,600 for 6 months</x:v>
      </x:c>
      <x:c r="O257" s="46" t="str">
        <x:v>2026 international fees flyer</x:v>
      </x:c>
      <x:c r="P257" s="46" t="str">
        <x:v>2026</x:v>
      </x:c>
      <x:c r="Q257" s="46" t="str">
        <x:v>Not published; 2026 fee shown only</x:v>
      </x:c>
      <x:c r="R257" s="46" t="str">
        <x:v>Pathways Your First Day Prospectus (Course Guide) Portfolio Need Help? Course details Feb 2027 One year Part-time Fees dependent on modules selected Level 8 Available for International Students. International Fee Guideline Hamilton City Campus Summary This programme is designed to extend and deepen professional knowledge and skills in the fields of health and social practice which include: occupational therapy, nursing, midwifery, social work, counselling and human services. It will offer learning opportunities designed to inform students' practice and develop valued knowledge in Treaty based practice. Students will learn and grow professionally while undertaking interactive and experiential-based education. The Postgraduate Certificate in Professional Supervision provides a supervision qu</x:v>
      </x:c>
      <x:c r="S257" s="46" t="str">
        <x:v>Candidates whose first language is neither English nor Māori are required to have score of 7 or better in all bands of the academic International English Language Test Score (IELTS), or PTE: (Academic) score of 65 with no band score lower than 65 or NZCEL: Level 5 and will be required to demonstrate the likelihood of being able to successfully achieve programme learning. Want to see full details of the entry criteria? VIEW PROGRAMME REGULATIONS Don't meet the entry criteria? CONTACT US Pathways To check what you need to gain direct entry to a course, review the entry criteria available on each programme page. These assist you in understanding</x:v>
      </x:c>
      <x:c r="T257" s="46"/>
      <x:c r="U257" s="46" t="str">
        <x:v>No programme-specific international scholarship confirmed on the live page.</x:v>
      </x:c>
      <x:c r="V257" s="59" t="str">
        <x:v>https://www.wintec.ac.nz/study-at-wintec/courses/health-and-wellbeing/postgraduate-certificate-in-professional-supervision-(level-8)</x:v>
      </x:c>
      <x:c r="W257" s="59" t="str">
        <x:v>https://www.wintec.ac.nz/international</x:v>
      </x:c>
      <x:c r="X257" s="46" t="str">
        <x:v>2026-07-29</x:v>
      </x:c>
      <x:c r="Y257" s="46" t="str">
        <x:v>Double-checked: live programme page + official international source</x:v>
      </x:c>
      <x:c r="Z257" s="46" t="str">
        <x:v>Domestic fee shown elsewhere on the page is ignored; international fee guideline controls this field.</x:v>
      </x:c>
      <x:c r="AA257" s="46"/>
      <x:c r="AB257" s="46" t="str">
        <x:v>Published by provider</x:v>
      </x:c>
      <x:c r="AC257" s="47" t="str">
        <x:v>Feb 2027</x:v>
      </x:c>
    </x:row>
    <x:row r="258" ht="48" customHeight="1">
      <x:c r="A258" s="51" t="str">
        <x:v>Waikato Institute of Technology</x:v>
      </x:c>
      <x:c r="B258" s="52" t="str">
        <x:v>Wintec</x:v>
      </x:c>
      <x:c r="C258" s="52" t="str">
        <x:v>Other</x:v>
      </x:c>
      <x:c r="D258" s="52" t="str">
        <x:v>Postgraduate Diploma in Applied Informatics</x:v>
      </x:c>
      <x:c r="E258" s="52"/>
      <x:c r="F258" s="52" t="n">
        <x:v>8</x:v>
      </x:c>
      <x:c r="G258" s="52" t="str">
        <x:v>Postgraduate Diploma</x:v>
      </x:c>
      <x:c r="H258" s="52" t="str">
        <x:v>On campus / in-person (may include blended components)</x:v>
      </x:c>
      <x:c r="I258" s="52" t="str">
        <x:v>Yes — provider publishes international/on-campus availability</x:v>
      </x:c>
      <x:c r="J258" s="52" t="str">
        <x:v>Hamilton City Campus</x:v>
      </x:c>
      <x:c r="K258" s="52" t="str">
        <x:v>One year Full-time or Part-time</x:v>
      </x:c>
      <x:c r="L258" s="52"/>
      <x:c r="M258" s="52" t="str">
        <x:v>Feb 2027</x:v>
      </x:c>
      <x:c r="N258" s="52" t="str">
        <x:v>$29,200</x:v>
      </x:c>
      <x:c r="O258" s="52" t="str">
        <x:v>2026 international fees flyer</x:v>
      </x:c>
      <x:c r="P258" s="52" t="str">
        <x:v>2026</x:v>
      </x:c>
      <x:c r="Q258" s="52" t="str">
        <x:v>Not published; 2026 fee shown only</x:v>
      </x:c>
      <x:c r="R258" s="52" t="str">
        <x:v>Pathways Your First Day Prospectus (Course Guide) Portfolio Need Help? Course details Jul 2026 Feb 2027 One year Full-time or Part-time $9,019* You may qualify for fee-free study under the Fees Free Policy Level 8 Available for International Students. International Fee Guideline Hamilton City Campus Summary The Postgraduate Diploma in Applied Informatics programme has been developed to meet increasing demand from industry and organisations for professionals with interdisciplinary knowledge and information management skills. This programme provides a professional development pathway for graduates with a relevant degree. Students will learn about the social, cultural, and organisational settings in which information is used. Areas of specialisation could include e-commerce, strategic plannin</x:v>
      </x:c>
      <x:c r="S258" s="52" t="str">
        <x:v>Candidates who have English as a second language are required to have an International English Language Testing System (IELTS) score of 6.5, with no individual band score lower than 6.0;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x:v>
      </x:c>
      <x:c r="T258" s="52"/>
      <x:c r="U258" s="52" t="str">
        <x:v>No programme-specific international scholarship confirmed on the live page.</x:v>
      </x:c>
      <x:c r="V258" s="58" t="str">
        <x:v>https://www.wintec.ac.nz/study-at-wintec/courses/information-technology/postgraduate-diploma-in-applied-informatics</x:v>
      </x:c>
      <x:c r="W258" s="58" t="str">
        <x:v>https://www.wintec.ac.nz/international</x:v>
      </x:c>
      <x:c r="X258" s="52" t="str">
        <x:v>2026-07-29</x:v>
      </x:c>
      <x:c r="Y258" s="52" t="str">
        <x:v>Double-checked: live programme page + official international source</x:v>
      </x:c>
      <x:c r="Z258" s="52" t="str">
        <x:v>Domestic fee shown elsewhere on the page is ignored; international fee guideline controls this field.</x:v>
      </x:c>
      <x:c r="AA258" s="52"/>
      <x:c r="AB258" s="52" t="str">
        <x:v>Published by provider</x:v>
      </x:c>
      <x:c r="AC258" s="53" t="str">
        <x:v>Feb 2027</x:v>
      </x:c>
    </x:row>
    <x:row r="259" ht="48" customHeight="1">
      <x:c r="A259" s="45" t="str">
        <x:v>Waikato Institute of Technology</x:v>
      </x:c>
      <x:c r="B259" s="46" t="str">
        <x:v>Wintec</x:v>
      </x:c>
      <x:c r="C259" s="46" t="str">
        <x:v>Other</x:v>
      </x:c>
      <x:c r="D259" s="46" t="str">
        <x:v>Bachelor of Communication</x:v>
      </x:c>
      <x:c r="E259" s="46"/>
      <x:c r="F259" s="46" t="n">
        <x:v>7</x:v>
      </x:c>
      <x:c r="G259" s="46" t="str">
        <x:v>Bachelor's Degree</x:v>
      </x:c>
      <x:c r="H259" s="46" t="str">
        <x:v>On campus / in-person (may include blended components)</x:v>
      </x:c>
      <x:c r="I259" s="46" t="str">
        <x:v>Yes — provider publishes international/on-campus availability</x:v>
      </x:c>
      <x:c r="J259" s="46" t="str">
        <x:v>Hamilton City Campus</x:v>
      </x:c>
      <x:c r="K259" s="46" t="str">
        <x:v>Three years Full-time or Part-time</x:v>
      </x:c>
      <x:c r="L259" s="46"/>
      <x:c r="M259" s="46" t="str">
        <x:v>Feb 2027</x:v>
      </x:c>
      <x:c r="N259" s="46" t="str">
        <x:v>$26,600</x:v>
      </x:c>
      <x:c r="O259" s="46" t="str">
        <x:v>2026 international fees flyer</x:v>
      </x:c>
      <x:c r="P259" s="46" t="str">
        <x:v>2026</x:v>
      </x:c>
      <x:c r="Q259" s="46" t="str">
        <x:v>Not published; 2026 fee shown only</x:v>
      </x:c>
      <x:c r="R259" s="46" t="str">
        <x:v>Pathways Your First Day Prospectus (Course Guide) Portfolio Need Help? Course details Jul 2026 Feb 2027 Three years Full-time or Part-time $8,248* per year You may qualify for fee-free study under the Fees Free Policy Level 7 Available for International Students. International Fee Guideline Hamilton City Campus Summary Students studying the Bachelor of Communication at Wintec will learn the art of storytelling through content creation, campaign delivery and digital marketing within the communication industry. With practical assessments, work-integrated learning, real clients, and industry experience consistently applied through each year of study; this degree gives students the tools to build a dynamic network from day one, developing a digital portfolio and strong professional-personal br</x:v>
      </x:c>
      <x:c r="S259" s="46" t="str">
        <x:v>a) Candidates who have English as a second language are required to have an International English Language Test System (IELTS) score of 6.0 with no individual band score lower than 5.5; or,b) Equivalent. Want to see full details of the entry criteria?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x:v>
      </x:c>
      <x:c r="T259" s="46"/>
      <x:c r="U259" s="46" t="str">
        <x:v>No programme-specific international scholarship confirmed on the live page.</x:v>
      </x:c>
      <x:c r="V259" s="59" t="str">
        <x:v>https://www.wintec.ac.nz/study-at-wintec/courses/communication/bachelor-of-communication</x:v>
      </x:c>
      <x:c r="W259" s="59" t="str">
        <x:v>https://www.wintec.ac.nz/international</x:v>
      </x:c>
      <x:c r="X259" s="46" t="str">
        <x:v>2026-07-29</x:v>
      </x:c>
      <x:c r="Y259" s="46" t="str">
        <x:v>Double-checked: live programme page + official international source</x:v>
      </x:c>
      <x:c r="Z259" s="46" t="str">
        <x:v>Domestic fee shown elsewhere on the page is ignored; international fee guideline controls this field.</x:v>
      </x:c>
      <x:c r="AA259" s="46"/>
      <x:c r="AB259" s="46" t="str">
        <x:v>Published by provider</x:v>
      </x:c>
      <x:c r="AC259" s="47" t="str">
        <x:v>Feb 2027</x:v>
      </x:c>
    </x:row>
    <x:row r="260" ht="48" customHeight="1">
      <x:c r="A260" s="51" t="str">
        <x:v>Waikato Institute of Technology</x:v>
      </x:c>
      <x:c r="B260" s="52" t="str">
        <x:v>Wintec</x:v>
      </x:c>
      <x:c r="C260" s="52" t="str">
        <x:v>Other</x:v>
      </x:c>
      <x:c r="D260" s="52" t="str">
        <x:v>Bachelor of Contemporary Art</x:v>
      </x:c>
      <x:c r="E260" s="52"/>
      <x:c r="F260" s="52" t="n">
        <x:v>7</x:v>
      </x:c>
      <x:c r="G260" s="52" t="str">
        <x:v>Bachelor's Degree</x:v>
      </x:c>
      <x:c r="H260" s="52" t="str">
        <x:v>On campus / in-person (may include blended components)</x:v>
      </x:c>
      <x:c r="I260" s="52" t="str">
        <x:v>Yes — provider publishes international/on-campus availability</x:v>
      </x:c>
      <x:c r="J260" s="52" t="str">
        <x:v>Hamilton City Campus</x:v>
      </x:c>
      <x:c r="K260" s="52" t="str">
        <x:v>Three years Full-time or Part-time</x:v>
      </x:c>
      <x:c r="L260" s="52"/>
      <x:c r="M260" s="52" t="str">
        <x:v>Feb 2027</x:v>
      </x:c>
      <x:c r="N260" s="52" t="str">
        <x:v>$26,600</x:v>
      </x:c>
      <x:c r="O260" s="52" t="str">
        <x:v>2026 international fees flyer</x:v>
      </x:c>
      <x:c r="P260" s="52" t="str">
        <x:v>2026</x:v>
      </x:c>
      <x:c r="Q260" s="52" t="str">
        <x:v>Not published; 2026 fee shown only</x:v>
      </x:c>
      <x:c r="R260" s="52" t="str">
        <x:v>Pathways Your First Day Prospectus (Course Guide) Portfolio Need Help? Course details Jul 2026 Feb 2027 Three years Full-time or Part-time $8,248* per year Level 7 Available for International Students. International Fee Guideline Hamilton City Campus Note: For mid-year intakes, please contact info@wintec.ac.nz to discuss pathway options. Summary This degree is for those who want to engage in fields of art including painting, photography, screen-based media, installation, street art, sculpture, curation or illustration. Students will study in a community where individual vision and personality are valued as a relevant contribution to our society.Students will develop and gain a deep understanding of creativity in art and use this to respond to situations that demand combinations of ideas, t</x:v>
      </x:c>
      <x:c r="S260" s="52" t="str">
        <x:v>a) Candidates who have English as a second language are required to have an International English Language Test System (IELTS) score of 6.0 with no individual band score lower than 5.5; or,b)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x:v>
      </x:c>
      <x:c r="T260" s="52"/>
      <x:c r="U260" s="52" t="str">
        <x:v>No programme-specific international scholarship confirmed on the live page.</x:v>
      </x:c>
      <x:c r="V260" s="58" t="str">
        <x:v>https://www.wintec.ac.nz/study-at-wintec/courses/art-and-design/bachelor-of-contemporary-art</x:v>
      </x:c>
      <x:c r="W260" s="58" t="str">
        <x:v>https://www.wintec.ac.nz/international</x:v>
      </x:c>
      <x:c r="X260" s="52" t="str">
        <x:v>2026-07-29</x:v>
      </x:c>
      <x:c r="Y260" s="52" t="str">
        <x:v>Double-checked: live programme page + official international source</x:v>
      </x:c>
      <x:c r="Z260" s="52" t="str">
        <x:v>Domestic fee shown elsewhere on the page is ignored; international fee guideline controls this field.</x:v>
      </x:c>
      <x:c r="AA260" s="52"/>
      <x:c r="AB260" s="52" t="str">
        <x:v>Published by provider</x:v>
      </x:c>
      <x:c r="AC260" s="53" t="str">
        <x:v>Feb 2027</x:v>
      </x:c>
    </x:row>
    <x:row r="261" ht="48" customHeight="1">
      <x:c r="A261" s="45" t="str">
        <x:v>Waikato Institute of Technology</x:v>
      </x:c>
      <x:c r="B261" s="46" t="str">
        <x:v>Wintec</x:v>
      </x:c>
      <x:c r="C261" s="46" t="str">
        <x:v>Other</x:v>
      </x:c>
      <x:c r="D261" s="46" t="str">
        <x:v>Graduate Diploma in Communication</x:v>
      </x:c>
      <x:c r="E261" s="46"/>
      <x:c r="F261" s="46" t="n">
        <x:v>7</x:v>
      </x:c>
      <x:c r="G261" s="46" t="str">
        <x:v>Graduate Diploma</x:v>
      </x:c>
      <x:c r="H261" s="46" t="str">
        <x:v>On campus / in-person (may include blended components)</x:v>
      </x:c>
      <x:c r="I261" s="46" t="str">
        <x:v>Yes — provider publishes international/on-campus availability</x:v>
      </x:c>
      <x:c r="J261" s="46" t="str">
        <x:v>Hamilton City Campus</x:v>
      </x:c>
      <x:c r="K261" s="46" t="str">
        <x:v>One year Full-time or Part-time</x:v>
      </x:c>
      <x:c r="L261" s="46"/>
      <x:c r="M261" s="46" t="str">
        <x:v>Feb 2027</x:v>
      </x:c>
      <x:c r="N261" s="46" t="str">
        <x:v>$26,600</x:v>
      </x:c>
      <x:c r="O261" s="46" t="str">
        <x:v>2026 international fees flyer</x:v>
      </x:c>
      <x:c r="P261" s="46" t="str">
        <x:v>2026</x:v>
      </x:c>
      <x:c r="Q261" s="46" t="str">
        <x:v>Not published; 2026 fee shown only</x:v>
      </x:c>
      <x:c r="R261" s="46" t="str">
        <x:v>Pathways Your First Day Prospectus (Course Guide) Portfolio Need Help? Course details Jul 2026 Feb 2027 One year Full-time or Part-time $8,248* You may qualify for fee-free study under the Fees Free Policy Level 7 Available for International Students. International Fee Guideline Hamilton City Campus Summary This programme is for those who want to enhance their degree or work experience with knowledge and skills in public relations, advertising, and media practices. Students will work on live projects with real clients, with support from tutors with industry experience. To be successful in public relations or advertising, students must be an excellent communicator, a problem solver, a lateral thinker, interested in contemporary issues, creative and able to work under pressure. The Graduate </x:v>
      </x:c>
      <x:c r="S261" s="46" t="str">
        <x:v>Candidates who have English as a second language are required to have an International English Language Test System (IELTS) score of 6.0 with no individual ban score lower than 5.5; or equivalent.Check what documents are required to enrol in this programme.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x:v>
      </x:c>
      <x:c r="T261" s="46"/>
      <x:c r="U261" s="46" t="str">
        <x:v>No programme-specific international scholarship confirmed on the live page.</x:v>
      </x:c>
      <x:c r="V261" s="59" t="str">
        <x:v>https://www.wintec.ac.nz/study-at-wintec/courses/communication/graduate-diploma-in-communication</x:v>
      </x:c>
      <x:c r="W261" s="59" t="str">
        <x:v>https://www.wintec.ac.nz/international</x:v>
      </x:c>
      <x:c r="X261" s="46" t="str">
        <x:v>2026-07-29</x:v>
      </x:c>
      <x:c r="Y261" s="46" t="str">
        <x:v>Double-checked: live programme page + official international source</x:v>
      </x:c>
      <x:c r="Z261" s="46" t="str">
        <x:v>Domestic fee shown elsewhere on the page is ignored; international fee guideline controls this field.</x:v>
      </x:c>
      <x:c r="AA261" s="46"/>
      <x:c r="AB261" s="46" t="str">
        <x:v>Published by provider</x:v>
      </x:c>
      <x:c r="AC261" s="47" t="str">
        <x:v>Feb 2027</x:v>
      </x:c>
    </x:row>
    <x:row r="262" ht="48" customHeight="1">
      <x:c r="A262" s="51" t="str">
        <x:v>Waikato Institute of Technology</x:v>
      </x:c>
      <x:c r="B262" s="52" t="str">
        <x:v>Wintec</x:v>
      </x:c>
      <x:c r="C262" s="52" t="str">
        <x:v>Other</x:v>
      </x:c>
      <x:c r="D262" s="52" t="str">
        <x:v>New Zealand Diploma in Journalism</x:v>
      </x:c>
      <x:c r="E262" s="52"/>
      <x:c r="F262" s="52" t="n">
        <x:v>5</x:v>
      </x:c>
      <x:c r="G262" s="52" t="str">
        <x:v>Diploma</x:v>
      </x:c>
      <x:c r="H262" s="52" t="str">
        <x:v>On campus / in-person (may include blended components)</x:v>
      </x:c>
      <x:c r="I262" s="52" t="str">
        <x:v>Yes — provider publishes international/on-campus availability</x:v>
      </x:c>
      <x:c r="J262" s="52" t="str">
        <x:v>Hamilton City Campus</x:v>
      </x:c>
      <x:c r="K262" s="52" t="str">
        <x:v>One year Full-time</x:v>
      </x:c>
      <x:c r="L262" s="52"/>
      <x:c r="M262" s="52" t="str">
        <x:v>Feb 2027</x:v>
      </x:c>
      <x:c r="N262" s="52" t="str">
        <x:v>$26,600</x:v>
      </x:c>
      <x:c r="O262" s="52" t="str">
        <x:v>2026 international fees flyer</x:v>
      </x:c>
      <x:c r="P262" s="52" t="str">
        <x:v>2026</x:v>
      </x:c>
      <x:c r="Q262" s="52" t="str">
        <x:v>Not published; 2026 fee shown only</x:v>
      </x:c>
      <x:c r="R262" s="52" t="str">
        <x:v>Pathways Your First Day Prospectus (Course Guide) Portfolio Need Help? Course details Feb 2027 One year Full-time $8,250 Level 5 Available for International Students. International Fee Guideline Hamilton City Campus Summary Do you have a way with words and a curiosity about the world? The New Zealand Diploma in Journalism (Level 5) is an intensive, one-year programme that prepares you for the fast-paced news and media industry. Whether you want to retrain to change your career, are a graduate looking for an industry qualification, or are a motivated school leaver, this programme equips you with the professional, technical, and ethical skills for entry into the journalism industry.Learn how to find, produce, and publish credible news stories across multiple platforms and build a professiona</x:v>
      </x:c>
      <x:c r="S262" s="52" t="str">
        <x:v>Candidates who have English as a second language are required to have an International English Language Test System (IELTS) score of 6.0 with no band lower than 5.5;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first day Are you </x:v>
      </x:c>
      <x:c r="T262" s="52"/>
      <x:c r="U262" s="52" t="str">
        <x:v>No programme-specific international scholarship confirmed on the live page.</x:v>
      </x:c>
      <x:c r="V262" s="58" t="str">
        <x:v>https://www.wintec.ac.nz/study-at-wintec/courses/communication/new-zealand-diploma-in-journalism</x:v>
      </x:c>
      <x:c r="W262" s="58" t="str">
        <x:v>https://www.wintec.ac.nz/international</x:v>
      </x:c>
      <x:c r="X262" s="52" t="str">
        <x:v>2026-07-29</x:v>
      </x:c>
      <x:c r="Y262" s="52" t="str">
        <x:v>Double-checked: live programme page + official international source</x:v>
      </x:c>
      <x:c r="Z262" s="52" t="str">
        <x:v>Domestic fee shown elsewhere on the page is ignored; international fee guideline controls this field.</x:v>
      </x:c>
      <x:c r="AA262" s="52"/>
      <x:c r="AB262" s="52" t="str">
        <x:v>Published by provider</x:v>
      </x:c>
      <x:c r="AC262" s="53" t="str">
        <x:v>Feb 2027</x:v>
      </x:c>
    </x:row>
    <x:row r="263" ht="48" customHeight="1">
      <x:c r="A263" s="45" t="str">
        <x:v>Waikato Institute of Technology</x:v>
      </x:c>
      <x:c r="B263" s="46" t="str">
        <x:v>Wintec</x:v>
      </x:c>
      <x:c r="C263" s="46" t="str">
        <x:v>Science &amp; Environment</x:v>
      </x:c>
      <x:c r="D263" s="46" t="str">
        <x:v>Master of Science (Human Performance Science)</x:v>
      </x:c>
      <x:c r="E263" s="46"/>
      <x:c r="F263" s="46" t="n">
        <x:v>9</x:v>
      </x:c>
      <x:c r="G263" s="46" t="str">
        <x:v>Master's Degree</x:v>
      </x:c>
      <x:c r="H263" s="46" t="str">
        <x:v>On campus / in-person (may include blended components)</x:v>
      </x:c>
      <x:c r="I263" s="46" t="str">
        <x:v>Yes — provider publishes international/on-campus availability</x:v>
      </x:c>
      <x:c r="J263" s="46" t="str">
        <x:v>Hamilton Rotokauri Campus</x:v>
      </x:c>
      <x:c r="K263" s="46" t="str">
        <x:v>One and a half years Full-time or Part-time</x:v>
      </x:c>
      <x:c r="L263" s="46"/>
      <x:c r="M263" s="46" t="str">
        <x:v>Feb 2027</x:v>
      </x:c>
      <x:c r="N263" s="46" t="str">
        <x:v>$27,650–$29,200 (programme-specific 2026 flyer amount)</x:v>
      </x:c>
      <x:c r="O263" s="46" t="str">
        <x:v>2026 international fees flyer</x:v>
      </x:c>
      <x:c r="P263" s="46" t="str">
        <x:v>2026</x:v>
      </x:c>
      <x:c r="Q263" s="46" t="str">
        <x:v>Not published; 2026 fee shown only</x:v>
      </x:c>
      <x:c r="R263" s="46" t="str">
        <x:v>Pathways Your First Day Prospectus (Course Guide) Portfolio Need Help? Course details Jul 2026 Feb 2027 One and a half years Full-time or Part-time $9,019* per year You may qualify for fee-free study under the Fees Free Policy Level 9 Available for International Students. International Fee Guideline Hamilton Rotokauri Campus Summary This programme is designed for those who wish to extend their undergraduate degree with highly specialised knowledge in sport and exercise science, rehabilitation, and movement-related professions. It is most suited to those who are wanting to continue onto a Doctoral programme or into higher-level positions in the workforce.Our postgraduate sports programmes focus on applied learning, are strongly industry-focused, and are supported by a team of highly-skilled</x:v>
      </x:c>
      <x:c r="S263" s="46" t="str">
        <x:v>Candidates who have English as a second language are required to have an International English Language Test System (IELTS) score of 6.5 with no individual band score lower than 6.0; or equivalent.Safety check In order to comply with the provisions of the Vulnerable Children Act 2014 and Wintec Child Protection Policies for all ‘specified organisations’ providing a ‘regulated service’, all candidates/students will be subjected to safety checks. These will include but are not limited to;A Formal InterviewReferee ChecksA Police Vet CheckA Risk AssessmentAny unsatisfactory result arising from the full safety checking process may result in the ca</x:v>
      </x:c>
      <x:c r="T263" s="46"/>
      <x:c r="U263" s="46" t="str">
        <x:v>No programme-specific international scholarship confirmed on the live page.</x:v>
      </x:c>
      <x:c r="V263" s="59" t="str">
        <x:v>https://www.wintec.ac.nz/study-at-wintec/courses/sport-science-and-human-performance/master-of-science-(human-performance-science)</x:v>
      </x:c>
      <x:c r="W263" s="59" t="str">
        <x:v>https://www.wintec.ac.nz/international</x:v>
      </x:c>
      <x:c r="X263" s="46" t="str">
        <x:v>2026-07-29</x:v>
      </x:c>
      <x:c r="Y263" s="46" t="str">
        <x:v>Double-checked: live programme page + official international source</x:v>
      </x:c>
      <x:c r="Z263" s="46" t="str">
        <x:v>Domestic fee shown elsewhere on the page is ignored; international fee guideline controls this field.</x:v>
      </x:c>
      <x:c r="AA263" s="46"/>
      <x:c r="AB263" s="46" t="str">
        <x:v>Published by provider</x:v>
      </x:c>
      <x:c r="AC263" s="47" t="str">
        <x:v>Feb 2027</x:v>
      </x:c>
    </x:row>
    <x:row r="264" ht="48" customHeight="1">
      <x:c r="A264" s="51" t="str">
        <x:v>Waikato Institute of Technology</x:v>
      </x:c>
      <x:c r="B264" s="52" t="str">
        <x:v>Wintec</x:v>
      </x:c>
      <x:c r="C264" s="52" t="str">
        <x:v>Science &amp; Environment</x:v>
      </x:c>
      <x:c r="D264" s="52" t="str">
        <x:v>Postgraduate Diploma in Sport and Exercise Science</x:v>
      </x:c>
      <x:c r="E264" s="52"/>
      <x:c r="F264" s="52" t="n">
        <x:v>8</x:v>
      </x:c>
      <x:c r="G264" s="52" t="str">
        <x:v>Postgraduate Diploma</x:v>
      </x:c>
      <x:c r="H264" s="52" t="str">
        <x:v>On campus / in-person (may include blended components)</x:v>
      </x:c>
      <x:c r="I264" s="52" t="str">
        <x:v>Yes — provider publishes international/on-campus availability</x:v>
      </x:c>
      <x:c r="J264" s="52" t="str">
        <x:v>Hamilton Rotokauri Campus</x:v>
      </x:c>
      <x:c r="K264" s="52" t="str">
        <x:v>One year Full-time or Part-time</x:v>
      </x:c>
      <x:c r="L264" s="52"/>
      <x:c r="M264" s="52" t="str">
        <x:v>Feb 2027</x:v>
      </x:c>
      <x:c r="N264" s="52" t="str">
        <x:v>$29,200</x:v>
      </x:c>
      <x:c r="O264" s="52" t="str">
        <x:v>2026 international fees flyer</x:v>
      </x:c>
      <x:c r="P264" s="52" t="str">
        <x:v>2026</x:v>
      </x:c>
      <x:c r="Q264" s="52" t="str">
        <x:v>Not published; 2026 fee shown only</x:v>
      </x:c>
      <x:c r="R264" s="52" t="str">
        <x:v>Pathways Your First Day Prospectus (Course Guide) Portfolio Need Help? Course details Jul 2026 Feb 2027 One year Full-time or Part-time $9,019* You may qualify for fee-free study under the Fees Free Policy Level 8 Available for International Students. International Fee Guideline Hamilton Rotokauri Campus Summary This programme is for those who want to extend their knowledge in sport and exercise science, and is designed to build on an undergraduate degree or equivalent industry experience with further specialist knowledge.Our postgraduate sports programmes focus on applied learning, are strongly industry-focused, and supported by a team of highly-skilled academic staff. Students will get to apply their learning in our purpose-built facilities. What you will learnStudents can tailor their s</x:v>
      </x:c>
      <x:c r="S264" s="52" t="str">
        <x:v>Candidates who have English as a second language are required to have an International English Language Test System (IELTS) score of 6.5, with no individual band score lower than 6.0; or equivalent. Want to see full details of the entry criteria? View Programme Regulations Don't meet the entry criteria?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Wintec at any time for further guidance. Your </x:v>
      </x:c>
      <x:c r="T264" s="52"/>
      <x:c r="U264" s="52" t="str">
        <x:v>No programme-specific international scholarship confirmed on the live page.</x:v>
      </x:c>
      <x:c r="V264" s="58" t="str">
        <x:v>https://www.wintec.ac.nz/study-at-wintec/courses/sport-science-and-human-performance/postgraduate-diploma-in-sport-and-exercise-science</x:v>
      </x:c>
      <x:c r="W264" s="58" t="str">
        <x:v>https://www.wintec.ac.nz/international</x:v>
      </x:c>
      <x:c r="X264" s="52" t="str">
        <x:v>2026-07-29</x:v>
      </x:c>
      <x:c r="Y264" s="52" t="str">
        <x:v>Double-checked: live programme page + official international source</x:v>
      </x:c>
      <x:c r="Z264" s="52" t="str">
        <x:v>Domestic fee shown elsewhere on the page is ignored; international fee guideline controls this field.</x:v>
      </x:c>
      <x:c r="AA264" s="52"/>
      <x:c r="AB264" s="52" t="str">
        <x:v>Published by provider</x:v>
      </x:c>
      <x:c r="AC264" s="53" t="str">
        <x:v>Feb 2027</x:v>
      </x:c>
    </x:row>
    <x:row r="265" ht="48" customHeight="1">
      <x:c r="A265" s="45" t="str">
        <x:v>Waikato Institute of Technology</x:v>
      </x:c>
      <x:c r="B265" s="46" t="str">
        <x:v>Wintec</x:v>
      </x:c>
      <x:c r="C265" s="46" t="str">
        <x:v>Science &amp; Environment</x:v>
      </x:c>
      <x:c r="D265" s="46" t="str">
        <x:v>New Zealand Diploma in Applied Science (Level 6)</x:v>
      </x:c>
      <x:c r="E265" s="46"/>
      <x:c r="F265" s="46" t="n">
        <x:v>6</x:v>
      </x:c>
      <x:c r="G265" s="46" t="str">
        <x:v>Diploma</x:v>
      </x:c>
      <x:c r="H265" s="46" t="str">
        <x:v>On campus / in-person (may include blended components)</x:v>
      </x:c>
      <x:c r="I265" s="46" t="str">
        <x:v>Yes — provider publishes international/on-campus availability</x:v>
      </x:c>
      <x:c r="J265" s="46" t="str">
        <x:v>Hamilton City Campus</x:v>
      </x:c>
      <x:c r="K265" s="46" t="str">
        <x:v>One year Full-time or Part-time</x:v>
      </x:c>
      <x:c r="L265" s="46"/>
      <x:c r="M265" s="46" t="str">
        <x:v>Feb 2027</x:v>
      </x:c>
      <x:c r="N265" s="46" t="str">
        <x:v>$26,600</x:v>
      </x:c>
      <x:c r="O265" s="46" t="str">
        <x:v>2026 international fees flyer</x:v>
      </x:c>
      <x:c r="P265" s="46" t="str">
        <x:v>2026</x:v>
      </x:c>
      <x:c r="Q265" s="46" t="str">
        <x:v>Not published; 2026 fee shown only</x:v>
      </x:c>
      <x:c r="R265" s="46" t="str">
        <x:v>Pathways Your First Day Prospectus (Course Guide) Portfolio Need Help? Course details Jul 2026 Feb 2027 One year Full-time or Part-time $9,019* You may qualify for fee-free study under the Fees Free Policy Level 6 Available for International Students. International Fee Guideline Hamilton City Campus Summary In this programme, you will learn theoretical and technical knowledge in a specialised field of science such as:Food technology is the science of food. Those who choose this pathway could work in entry-level positions as food technologists who develop new food products, analyse the components of food, or; food safety officers who audit the food manufacturing industry.Environmental technology is the science of conservation, biosecurity and environmental management. If you choose this pat</x:v>
      </x:c>
      <x:c r="S265" s="46" t="str">
        <x:v>International applicants must provide evidence that they have the necessary English language proficiency and are required to have an International English Language Test System (IELTS) Academic band score of 6, with no individual band score lower than 5.5 or equivalent. Click the button below to see full details of the entry criteria. VIEW PROGRAMME REGULATIONS Do not meet the entry criteria or need more information? CONTACT US Pathways To check what you need to gain direct entry to a course, review the entry criteria available on each programme page. These assist you in understanding what qualifications or experience are typically required to</x:v>
      </x:c>
      <x:c r="T265" s="46"/>
      <x:c r="U265" s="46" t="str">
        <x:v>No programme-specific international scholarship confirmed on the live page.</x:v>
      </x:c>
      <x:c r="V265" s="59" t="str">
        <x:v>https://www.wintec.ac.nz/study-at-wintec/courses/science/applied-science-6-(level-6)</x:v>
      </x:c>
      <x:c r="W265" s="59" t="str">
        <x:v>https://www.wintec.ac.nz/international</x:v>
      </x:c>
      <x:c r="X265" s="46" t="str">
        <x:v>2026-07-29</x:v>
      </x:c>
      <x:c r="Y265" s="46" t="str">
        <x:v>Double-checked: live programme page + official international source</x:v>
      </x:c>
      <x:c r="Z265" s="46" t="str">
        <x:v>Domestic fee shown elsewhere on the page is ignored; international fee guideline controls this field.</x:v>
      </x:c>
      <x:c r="AA265" s="46"/>
      <x:c r="AB265" s="46" t="str">
        <x:v>Published by provider</x:v>
      </x:c>
      <x:c r="AC265" s="47" t="str">
        <x:v>Feb 2027</x:v>
      </x:c>
    </x:row>
    <x:row r="266" ht="48" customHeight="1">
      <x:c r="A266" s="51" t="str">
        <x:v>Waikato Institute of Technology</x:v>
      </x:c>
      <x:c r="B266" s="52" t="str">
        <x:v>Wintec</x:v>
      </x:c>
      <x:c r="C266" s="52" t="str">
        <x:v>Science &amp; Environment</x:v>
      </x:c>
      <x:c r="D266" s="52" t="str">
        <x:v>New Zealand Diploma in Applied Science (Level 5)</x:v>
      </x:c>
      <x:c r="E266" s="52"/>
      <x:c r="F266" s="52" t="n">
        <x:v>5</x:v>
      </x:c>
      <x:c r="G266" s="52" t="str">
        <x:v>Diploma</x:v>
      </x:c>
      <x:c r="H266" s="52" t="str">
        <x:v>On campus / in-person (may include blended components)</x:v>
      </x:c>
      <x:c r="I266" s="52" t="str">
        <x:v>Yes — provider publishes international/on-campus availability</x:v>
      </x:c>
      <x:c r="J266" s="52" t="str">
        <x:v>Hamilton City Campus</x:v>
      </x:c>
      <x:c r="K266" s="52" t="str">
        <x:v>One year Full-time or Part-time</x:v>
      </x:c>
      <x:c r="L266" s="52"/>
      <x:c r="M266" s="52" t="str">
        <x:v>Feb 2027</x:v>
      </x:c>
      <x:c r="N266" s="52" t="str">
        <x:v>$26,600</x:v>
      </x:c>
      <x:c r="O266" s="52" t="str">
        <x:v>2026 international fees flyer</x:v>
      </x:c>
      <x:c r="P266" s="52" t="str">
        <x:v>2026</x:v>
      </x:c>
      <x:c r="Q266" s="52" t="str">
        <x:v>Not published; 2026 fee shown only</x:v>
      </x:c>
      <x:c r="R266" s="52" t="str">
        <x:v>Pathways Your First Day Prospectus (Course Guide) Portfolio Need Help? Course details Jul 2026 Feb 2027 One year Full-time or Part-time $9,015* You may qualify for fee-free study under the Fees Free Policy Level 5 Available for International Students. International Fee Guideline Hamilton City Campus Summary Studying in this programme will see you learn theory and technical knowledge in a range of natural and physical sciences. You will also learn a range of practical skills, laboratory methods, and the soft skills necessary for further studies in the field of science. Areas of study include chemistry, biology, microbiology, food nutrition, and environmental sciences.This programme is highly practical. Alongside learning theory, you will spend hands-on time in the laboratory developing prac</x:v>
      </x:c>
      <x:c r="S266" s="52" t="str">
        <x:v>International applicants must provide evidence that they have the necessary English language proficiency and are required to have an International English Language Test System (IELTS) Academic band score of 5.5, with no individual band score lower than 5.0; or equivalent.Additional requirementsFor the Pre-Analytical Technician pathway, students are required to be concurrently employed as Patient Services or Phlebotomy trainees. Click the button below to see full details of the entry criteria. VIEW PROGRAMME REGULATIONS Do not meet the entry criteria or need more information? CONTACT US Pathways To check what you need to gain direct entry to a</x:v>
      </x:c>
      <x:c r="T266" s="52"/>
      <x:c r="U266" s="52" t="str">
        <x:v>No programme-specific international scholarship confirmed on the live page.</x:v>
      </x:c>
      <x:c r="V266" s="58" t="str">
        <x:v>https://www.wintec.ac.nz/study-at-wintec/courses/science/applied-science-5</x:v>
      </x:c>
      <x:c r="W266" s="58" t="str">
        <x:v>https://www.wintec.ac.nz/international</x:v>
      </x:c>
      <x:c r="X266" s="52" t="str">
        <x:v>2026-07-29</x:v>
      </x:c>
      <x:c r="Y266" s="52" t="str">
        <x:v>Double-checked: live programme page + official international source</x:v>
      </x:c>
      <x:c r="Z266" s="52" t="str">
        <x:v>Domestic fee shown elsewhere on the page is ignored; international fee guideline controls this field.</x:v>
      </x:c>
      <x:c r="AA266" s="52"/>
      <x:c r="AB266" s="52" t="str">
        <x:v>Published by provider</x:v>
      </x:c>
      <x:c r="AC266" s="53" t="str">
        <x:v>Feb 2027</x:v>
      </x:c>
    </x:row>
    <x:row r="267" ht="48" customHeight="1">
      <x:c r="A267" s="45" t="str">
        <x:v>Waikato Institute of Technology</x:v>
      </x:c>
      <x:c r="B267" s="46" t="str">
        <x:v>Wintec</x:v>
      </x:c>
      <x:c r="C267" s="46" t="str">
        <x:v>Sport &amp; Outdoor</x:v>
      </x:c>
      <x:c r="D267" s="46" t="str">
        <x:v>New Zealand Certificate in Exercise (Level 4)</x:v>
      </x:c>
      <x:c r="E267" s="46"/>
      <x:c r="F267" s="46" t="n">
        <x:v>4</x:v>
      </x:c>
      <x:c r="G267" s="46" t="str">
        <x:v>Certificate</x:v>
      </x:c>
      <x:c r="H267" s="46" t="str">
        <x:v>On campus / in-person (may include blended components)</x:v>
      </x:c>
      <x:c r="I267" s="46" t="str">
        <x:v>Yes — provider publishes international/on-campus availability</x:v>
      </x:c>
      <x:c r="J267" s="46" t="str">
        <x:v>Hamilton Rotokauri Campus</x:v>
      </x:c>
      <x:c r="K267" s="46" t="str">
        <x:v>One semester Full-time or Part-time</x:v>
      </x:c>
      <x:c r="L267" s="46"/>
      <x:c r="M267" s="46" t="str">
        <x:v>Feb 2027</x:v>
      </x:c>
      <x:c r="N267" s="46" t="str">
        <x:v>$26,600</x:v>
      </x:c>
      <x:c r="O267" s="46" t="str">
        <x:v>2026 international fees flyer</x:v>
      </x:c>
      <x:c r="P267" s="46" t="str">
        <x:v>2026</x:v>
      </x:c>
      <x:c r="Q267" s="46" t="str">
        <x:v>Not published; 2026 fee shown only</x:v>
      </x:c>
      <x:c r="R267" s="46" t="str">
        <x:v>Pathways Your First Day Prospectus (Course Guide) Portfolio Need Help? Course details Jul 2026 Feb 2027 One semester Full-time or Part-time $4,124* You may qualify for fee-free study under MPTT* or the Fees Free Policy Level 4 Available for International Students. International Fee Guideline Hamilton Rotokauri Campus Summary Become a qualified Personal Trainer This programme will give students the skills and knowledge needed to be able to deliver exercise instruction to others. Students will learn the important theory of personal training and build a base of practical experience. Practical work is a significant component of the study, enabling students to graduate ready to hit the ground running.Students will learn how to:Deliver safe and effective exercise programmes, including pre-screen</x:v>
      </x:c>
      <x:c r="S267" s="46" t="str">
        <x:v>Candidates who have English as a second language are required to have an International English Language Test System (IELTS) score of 5.5 in the academic band, with no individual band score lower than 5; or equivalent. Want to see full details of the entry criteria? VIEW PROGRAMME REGULATIONS Do not meet entry criteria or need more information? CONTACT US Pathways To check what you need to gain direct entry to a course, review the entry criteria available on each programme page. These assist you in understanding what qualifications or experience are typically required to gain entry. You can contact our team at info@wintec.ac.nz or 0800 2 Winte</x:v>
      </x:c>
      <x:c r="T267" s="46"/>
      <x:c r="U267" s="46" t="str">
        <x:v>No programme-specific international scholarship confirmed on the live page.</x:v>
      </x:c>
      <x:c r="V267" s="59" t="str">
        <x:v>https://www.wintec.ac.nz/study-at-wintec/courses/sport-science-and-human-performance/certificate-in-exercise-(level-4)</x:v>
      </x:c>
      <x:c r="W267" s="59" t="str">
        <x:v>https://www.wintec.ac.nz/international</x:v>
      </x:c>
      <x:c r="X267" s="46" t="str">
        <x:v>2026-07-29</x:v>
      </x:c>
      <x:c r="Y267" s="46" t="str">
        <x:v>Double-checked: live programme page + official international source</x:v>
      </x:c>
      <x:c r="Z267" s="46" t="str">
        <x:v>Domestic fee shown elsewhere on the page is ignored; international fee guideline controls this field.</x:v>
      </x:c>
      <x:c r="AA267" s="46"/>
      <x:c r="AB267" s="46" t="str">
        <x:v>Published by provider</x:v>
      </x:c>
      <x:c r="AC267" s="47" t="str">
        <x:v>Feb 2027</x:v>
      </x:c>
    </x:row>
    <x:row r="268" ht="48" customHeight="1">
      <x:c r="A268" s="51" t="str">
        <x:v>Western Institute of Technology at Taranaki</x:v>
      </x:c>
      <x:c r="B268" s="52" t="str">
        <x:v>WITT</x:v>
      </x:c>
      <x:c r="C268" s="52" t="str">
        <x:v>Beauty &amp; Hair</x:v>
      </x:c>
      <x:c r="D268" s="52" t="str">
        <x:v>New Zealand Diploma in Beauty Therapy (Level 5)</x:v>
      </x:c>
      <x:c r="E268" s="52"/>
      <x:c r="F268" s="52" t="n">
        <x:v>5</x:v>
      </x:c>
      <x:c r="G268" s="52" t="str">
        <x:v>Diploma</x:v>
      </x:c>
      <x:c r="H268" s="52" t="str">
        <x:v>On campus / in-person (may include blended components)</x:v>
      </x:c>
      <x:c r="I268" s="52" t="str">
        <x:v>Yes — provider publishes international/on-campus availability</x:v>
      </x:c>
      <x:c r="J268" s="52" t="str">
        <x:v>New Plymouth</x:v>
      </x:c>
      <x:c r="K268" s="52" t="str">
        <x:v>1 year full-time or part-time equivalent</x:v>
      </x:c>
      <x:c r="L268" s="52"/>
      <x:c r="M268" s="52" t="str">
        <x:v>22/02/2027</x:v>
      </x:c>
      <x:c r="N268" s="52" t="str">
        <x:v>$22,586</x:v>
      </x:c>
      <x:c r="O268" s="52" t="str">
        <x:v>2026 tuition; CSSF additional</x:v>
      </x:c>
      <x:c r="P268" s="52" t="str">
        <x:v>2026</x:v>
      </x:c>
      <x:c r="Q268" s="52" t="str">
        <x:v>Not published; 2026 fee shown only</x:v>
      </x:c>
      <x:c r="R268"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Beauty Therapy (Level 5) Enquire now Apply now Apply now Enquire now Home Study Programmes Hair, Beauty, Skincare and Cosmetics Beauty Therapy New Zealand Diploma in</x:v>
      </x:c>
      <x:c r="S268"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Beauty Therapy </x:v>
      </x:c>
      <x:c r="T268" s="52"/>
      <x:c r="U268" s="52" t="str">
        <x:v>Automatic 2026 WITT international scholarship: $1,500</x:v>
      </x:c>
      <x:c r="V268" s="58" t="str">
        <x:v>https://www.witt.ac.nz/study/hair-beauty-skincare-and-cosmetics/beauty-therapy/new-zealand-diploma-in-beauty-therapy-level-5</x:v>
      </x:c>
      <x:c r="W268" s="58" t="str">
        <x:v>https://www.witt.ac.nz/assets/International/WITT-International-Prospectus-2026_Sep25_Edition.pdf</x:v>
      </x:c>
      <x:c r="X268" s="52" t="str">
        <x:v>2026-07-29</x:v>
      </x:c>
      <x:c r="Y268" s="52" t="str">
        <x:v>Double-checked: live programme page + official international source</x:v>
      </x:c>
      <x:c r="Z268" s="52" t="str">
        <x:v>Where the live page displays a different unlabeled amount, the workbook retains the fee-year-controlled 2026 prospectus amount.</x:v>
      </x:c>
      <x:c r="AA268" s="52"/>
      <x:c r="AB268" s="52" t="str">
        <x:v>Published by provider</x:v>
      </x:c>
      <x:c r="AC268" s="53" t="str">
        <x:v>22/02/2027</x:v>
      </x:c>
    </x:row>
    <x:row r="269" ht="48" customHeight="1">
      <x:c r="A269" s="45" t="str">
        <x:v>Western Institute of Technology at Taranaki</x:v>
      </x:c>
      <x:c r="B269" s="46" t="str">
        <x:v>WITT</x:v>
      </x:c>
      <x:c r="C269" s="46" t="str">
        <x:v>Beauty &amp; Hair</x:v>
      </x:c>
      <x:c r="D269" s="46" t="str">
        <x:v>New Zealand Certificate in Beauty Therapy (Level 4)</x:v>
      </x:c>
      <x:c r="E269" s="46"/>
      <x:c r="F269" s="46" t="n">
        <x:v>4</x:v>
      </x:c>
      <x:c r="G269" s="46" t="str">
        <x:v>Certificate</x:v>
      </x:c>
      <x:c r="H269" s="46" t="str">
        <x:v>On campus / in-person (may include blended components)</x:v>
      </x:c>
      <x:c r="I269" s="46" t="str">
        <x:v>Yes — provider publishes international/on-campus availability</x:v>
      </x:c>
      <x:c r="J269" s="46" t="str">
        <x:v>New Plymouth</x:v>
      </x:c>
      <x:c r="K269" s="46" t="str">
        <x:v>1 year full-time or part-time equivalent</x:v>
      </x:c>
      <x:c r="L269" s="46"/>
      <x:c r="M269" s="46" t="str">
        <x:v>22/02/2027</x:v>
      </x:c>
      <x:c r="N269" s="46" t="str">
        <x:v>$22,586</x:v>
      </x:c>
      <x:c r="O269" s="46" t="str">
        <x:v>2026 tuition; CSSF additional</x:v>
      </x:c>
      <x:c r="P269" s="46" t="str">
        <x:v>2026</x:v>
      </x:c>
      <x:c r="Q269" s="46" t="str">
        <x:v>Not published; 2026 fee shown only</x:v>
      </x:c>
      <x:c r="R269"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Beauty Therapy (Level 4) Enquire now Apply now Apply now Enquire now Home Study Programmes Hair, Beauty, Skincare and Cosmetics Beauty Therapy New Zealand Certif</x:v>
      </x:c>
      <x:c r="S269"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Beauty Ther</x:v>
      </x:c>
      <x:c r="T269" s="46"/>
      <x:c r="U269" s="46" t="str">
        <x:v>Automatic 2026 WITT international scholarship: $1,500</x:v>
      </x:c>
      <x:c r="V269" s="59" t="str">
        <x:v>https://www.witt.ac.nz/study/hair-beauty-skincare-and-cosmetics/beauty-therapy/new-zealand-certificate-in-beauty-therapy-level-4</x:v>
      </x:c>
      <x:c r="W269" s="59" t="str">
        <x:v>https://www.witt.ac.nz/assets/International/WITT-International-Prospectus-2026_Sep25_Edition.pdf</x:v>
      </x:c>
      <x:c r="X269" s="46" t="str">
        <x:v>2026-07-29</x:v>
      </x:c>
      <x:c r="Y269" s="46" t="str">
        <x:v>Double-checked: live programme page + official international source</x:v>
      </x:c>
      <x:c r="Z269" s="46" t="str">
        <x:v>Where the live page displays a different unlabeled amount, the workbook retains the fee-year-controlled 2026 prospectus amount.</x:v>
      </x:c>
      <x:c r="AA269" s="46"/>
      <x:c r="AB269" s="46" t="str">
        <x:v>Published by provider</x:v>
      </x:c>
      <x:c r="AC269" s="47" t="str">
        <x:v>22/02/2027</x:v>
      </x:c>
    </x:row>
    <x:row r="270" ht="48" customHeight="1">
      <x:c r="A270" s="51" t="str">
        <x:v>Western Institute of Technology at Taranaki</x:v>
      </x:c>
      <x:c r="B270" s="52" t="str">
        <x:v>WITT</x:v>
      </x:c>
      <x:c r="C270" s="52" t="str">
        <x:v>Business &amp; Management</x:v>
      </x:c>
      <x:c r="D270" s="52" t="str">
        <x:v>Bachelor of Applied Management</x:v>
      </x:c>
      <x:c r="E270" s="52"/>
      <x:c r="F270" s="52" t="n">
        <x:v>7</x:v>
      </x:c>
      <x:c r="G270" s="52" t="str">
        <x:v>Bachelor's Degree</x:v>
      </x:c>
      <x:c r="H270" s="52" t="str">
        <x:v>On campus / in-person (may include blended components)</x:v>
      </x:c>
      <x:c r="I270" s="52" t="str">
        <x:v>Yes — provider publishes international/on-campus availability</x:v>
      </x:c>
      <x:c r="J270" s="52" t="str">
        <x:v>New Plymouth</x:v>
      </x:c>
      <x:c r="K270" s="52" t="str">
        <x:v>3 years full-time or part-time equivalent</x:v>
      </x:c>
      <x:c r="L270" s="52"/>
      <x:c r="M270" s="52" t="str">
        <x:v>19/07/2027</x:v>
      </x:c>
      <x:c r="N270" s="52" t="str">
        <x:v>$22,586</x:v>
      </x:c>
      <x:c r="O270" s="52" t="str">
        <x:v>2026 tuition; CSSF additional</x:v>
      </x:c>
      <x:c r="P270" s="52" t="str">
        <x:v>2026</x:v>
      </x:c>
      <x:c r="Q270" s="52" t="str">
        <x:v>Not published; 2026 fee shown only</x:v>
      </x:c>
      <x:c r="R270"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Bachelor of Applied Management Enquire now Apply now Apply now Enquire now Home Study Programmes Administration and Business Management Business and Management Bachelor of Applied Manageme</x:v>
      </x:c>
      <x:c r="S270"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Bachelor of Applied Management Enquire</x:v>
      </x:c>
      <x:c r="T270" s="52"/>
      <x:c r="U270" s="52" t="str">
        <x:v>Automatic 2026 WITT international scholarship: $2,500</x:v>
      </x:c>
      <x:c r="V270" s="58" t="str">
        <x:v>https://www.witt.ac.nz/study/administration-and-business-management/business-and-management/bachelor-of-applied-management-level-7</x:v>
      </x:c>
      <x:c r="W270" s="58" t="str">
        <x:v>https://www.witt.ac.nz/assets/International/WITT-International-Prospectus-2026_Sep25_Edition.pdf</x:v>
      </x:c>
      <x:c r="X270" s="52" t="str">
        <x:v>2026-07-29</x:v>
      </x:c>
      <x:c r="Y270" s="52" t="str">
        <x:v>Double-checked: live programme page + official international source</x:v>
      </x:c>
      <x:c r="Z270" s="52" t="str">
        <x:v>Where the live page displays a different unlabeled amount, the workbook retains the fee-year-controlled 2026 prospectus amount.</x:v>
      </x:c>
      <x:c r="AA270" s="52"/>
      <x:c r="AB270" s="52" t="str">
        <x:v>Published by provider</x:v>
      </x:c>
      <x:c r="AC270" s="53" t="str">
        <x:v>19/07/2027</x:v>
      </x:c>
    </x:row>
    <x:row r="271" ht="48" customHeight="1">
      <x:c r="A271" s="45" t="str">
        <x:v>Western Institute of Technology at Taranaki</x:v>
      </x:c>
      <x:c r="B271" s="46" t="str">
        <x:v>WITT</x:v>
      </x:c>
      <x:c r="C271" s="46" t="str">
        <x:v>Business &amp; Management</x:v>
      </x:c>
      <x:c r="D271" s="46" t="str">
        <x:v>New Zealand Diploma in Business (Level 5)</x:v>
      </x:c>
      <x:c r="E271" s="46"/>
      <x:c r="F271" s="46" t="n">
        <x:v>5</x:v>
      </x:c>
      <x:c r="G271" s="46" t="str">
        <x:v>Diploma</x:v>
      </x:c>
      <x:c r="H271" s="46" t="str">
        <x:v>On campus / in-person (may include blended components)</x:v>
      </x:c>
      <x:c r="I271" s="46" t="str">
        <x:v>Yes — provider publishes international/on-campus availability</x:v>
      </x:c>
      <x:c r="J271" s="46" t="str">
        <x:v>New Plymouth</x:v>
      </x:c>
      <x:c r="K271" s="46" t="str">
        <x:v>1 year full-time or part-time equivalent</x:v>
      </x:c>
      <x:c r="L271" s="46"/>
      <x:c r="M271" s="46" t="str">
        <x:v>22/02/2027; 19/07/2027</x:v>
      </x:c>
      <x:c r="N271" s="46" t="str">
        <x:v>$26,572</x:v>
      </x:c>
      <x:c r="O271" s="46" t="str">
        <x:v>2026 tuition; CSSF additional</x:v>
      </x:c>
      <x:c r="P271" s="46" t="str">
        <x:v>2026</x:v>
      </x:c>
      <x:c r="Q271" s="46" t="str">
        <x:v>Not published; 2026 fee shown only</x:v>
      </x:c>
      <x:c r="R271"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Business (Level 5) with strands in Accounting or Leadership and Management Enquire now with strands in Accounting or Leadership and Management Apply now Apply now En</x:v>
      </x:c>
      <x:c r="S271"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Business (Level</x:v>
      </x:c>
      <x:c r="T271" s="46"/>
      <x:c r="U271" s="46" t="str">
        <x:v>Automatic 2026 WITT international scholarship: $2,000</x:v>
      </x:c>
      <x:c r="V271" s="59" t="str">
        <x:v>https://www.witt.ac.nz/study/administration-and-business-management/business-and-management/new-zealand-diploma-in-business-with-strands-in-accounting-or-leadership-and-management-level-5</x:v>
      </x:c>
      <x:c r="W271" s="59" t="str">
        <x:v>https://www.witt.ac.nz/assets/International/WITT-International-Prospectus-2026_Sep25_Edition.pdf</x:v>
      </x:c>
      <x:c r="X271" s="46" t="str">
        <x:v>2026-07-29</x:v>
      </x:c>
      <x:c r="Y271" s="46" t="str">
        <x:v>Double-checked: live programme page + official international source</x:v>
      </x:c>
      <x:c r="Z271" s="46" t="str">
        <x:v>Where the live page displays a different unlabeled amount, the workbook retains the fee-year-controlled 2026 prospectus amount.</x:v>
      </x:c>
      <x:c r="AA271" s="46"/>
      <x:c r="AB271" s="46" t="str">
        <x:v>Published by provider</x:v>
      </x:c>
      <x:c r="AC271" s="47" t="str">
        <x:v>22/02/2027; 19/07/2027</x:v>
      </x:c>
    </x:row>
    <x:row r="272" ht="48" customHeight="1">
      <x:c r="A272" s="51" t="str">
        <x:v>Western Institute of Technology at Taranaki</x:v>
      </x:c>
      <x:c r="B272" s="52" t="str">
        <x:v>WITT</x:v>
      </x:c>
      <x:c r="C272" s="52" t="str">
        <x:v>Creative Arts &amp; Media</x:v>
      </x:c>
      <x:c r="D272" s="52" t="str">
        <x:v>Bachelor of Design and Arts (Level 7)</x:v>
      </x:c>
      <x:c r="E272" s="52"/>
      <x:c r="F272" s="52" t="n">
        <x:v>7</x:v>
      </x:c>
      <x:c r="G272" s="52" t="str">
        <x:v>Bachelor's Degree</x:v>
      </x:c>
      <x:c r="H272" s="52" t="str">
        <x:v>On campus / in-person (may include blended components)</x:v>
      </x:c>
      <x:c r="I272" s="52" t="str">
        <x:v>Yes — provider publishes international/on-campus availability</x:v>
      </x:c>
      <x:c r="J272" s="52" t="str">
        <x:v>New Plymouth</x:v>
      </x:c>
      <x:c r="K272" s="52" t="str">
        <x:v>3-years full time</x:v>
      </x:c>
      <x:c r="L272" s="52"/>
      <x:c r="M272" s="52" t="str">
        <x:v>22/02/2027</x:v>
      </x:c>
      <x:c r="N272" s="52" t="str">
        <x:v>$22,586</x:v>
      </x:c>
      <x:c r="O272" s="52" t="str">
        <x:v>2026 tuition; CSSF additional</x:v>
      </x:c>
      <x:c r="P272" s="52" t="str">
        <x:v>2026</x:v>
      </x:c>
      <x:c r="Q272" s="52" t="str">
        <x:v>Not published; 2026 fee shown only</x:v>
      </x:c>
      <x:c r="R272"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Bachelor of Design and Arts (Level 7) major in Visual Arts Enquire now major in Visual Arts Apply now Apply now Enquire now Home Study Programmes Arts and Design (Creative) Arts and Design</x:v>
      </x:c>
      <x:c r="S272"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Bachelor of Design and Arts (Level 7) </x:v>
      </x:c>
      <x:c r="T272" s="52"/>
      <x:c r="U272" s="52" t="str">
        <x:v>Automatic 2026 WITT international scholarship: $2,500</x:v>
      </x:c>
      <x:c r="V272" s="58" t="str">
        <x:v>https://www.witt.ac.nz/study/arts-and-design-creative/arts-and-design/bachelor-of-design-and-arts-level-7</x:v>
      </x:c>
      <x:c r="W272" s="58" t="str">
        <x:v>https://www.witt.ac.nz/assets/International/WITT-International-Prospectus-2026_Sep25_Edition.pdf</x:v>
      </x:c>
      <x:c r="X272" s="52" t="str">
        <x:v>2026-07-29</x:v>
      </x:c>
      <x:c r="Y272" s="52" t="str">
        <x:v>Double-checked: live programme page + official international source</x:v>
      </x:c>
      <x:c r="Z272" s="52" t="str">
        <x:v>Where the live page displays a different unlabeled amount, the workbook retains the fee-year-controlled 2026 prospectus amount.</x:v>
      </x:c>
      <x:c r="AA272" s="52"/>
      <x:c r="AB272" s="52" t="str">
        <x:v>Published by provider</x:v>
      </x:c>
      <x:c r="AC272" s="53" t="str">
        <x:v>22/02/2027</x:v>
      </x:c>
    </x:row>
    <x:row r="273" ht="48" customHeight="1">
      <x:c r="A273" s="45" t="str">
        <x:v>Western Institute of Technology at Taranaki</x:v>
      </x:c>
      <x:c r="B273" s="46" t="str">
        <x:v>WITT</x:v>
      </x:c>
      <x:c r="C273" s="46" t="str">
        <x:v>Creative Arts &amp; Media</x:v>
      </x:c>
      <x:c r="D273" s="46" t="str">
        <x:v>New Zealand Diploma in Arts and Design (Level 6)</x:v>
      </x:c>
      <x:c r="E273" s="46"/>
      <x:c r="F273" s="46" t="n">
        <x:v>6</x:v>
      </x:c>
      <x:c r="G273" s="46" t="str">
        <x:v>Diploma</x:v>
      </x:c>
      <x:c r="H273" s="46" t="str">
        <x:v>On campus / in-person (may include blended components)</x:v>
      </x:c>
      <x:c r="I273" s="46" t="str">
        <x:v>Yes — provider publishes international/on-campus availability</x:v>
      </x:c>
      <x:c r="J273" s="46" t="str">
        <x:v>New Plymouth</x:v>
      </x:c>
      <x:c r="K273" s="46" t="str">
        <x:v>1 year full-time or part-time equivalent</x:v>
      </x:c>
      <x:c r="L273" s="46"/>
      <x:c r="M273" s="46" t="str">
        <x:v>22/02/2027</x:v>
      </x:c>
      <x:c r="N273" s="46" t="str">
        <x:v>$22,586</x:v>
      </x:c>
      <x:c r="O273" s="46" t="str">
        <x:v>2026 tuition; CSSF additional</x:v>
      </x:c>
      <x:c r="P273" s="46" t="str">
        <x:v>2026</x:v>
      </x:c>
      <x:c r="Q273" s="46" t="str">
        <x:v>Not published; 2026 fee shown only</x:v>
      </x:c>
      <x:c r="R273"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Arts and Design (Level 6) Enquire now Apply now Apply now Enquire now Home Study Programmes Arts and Design (Creative) Arts and Design New Zealand Diploma in Arts an</x:v>
      </x:c>
      <x:c r="S273"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Arts and Design</x:v>
      </x:c>
      <x:c r="T273" s="46"/>
      <x:c r="U273" s="46" t="str">
        <x:v>Automatic 2026 WITT international scholarship: $1,500</x:v>
      </x:c>
      <x:c r="V273" s="59" t="str">
        <x:v>https://www.witt.ac.nz/study/arts-and-design-creative/arts-and-design/new-zealand-diploma-in-arts-and-design-level-6</x:v>
      </x:c>
      <x:c r="W273" s="59" t="str">
        <x:v>https://www.witt.ac.nz/assets/International/WITT-International-Prospectus-2026_Sep25_Edition.pdf</x:v>
      </x:c>
      <x:c r="X273" s="46" t="str">
        <x:v>2026-07-29</x:v>
      </x:c>
      <x:c r="Y273" s="46" t="str">
        <x:v>Double-checked: live programme page + official international source</x:v>
      </x:c>
      <x:c r="Z273" s="46" t="str">
        <x:v>Where the live page displays a different unlabeled amount, the workbook retains the fee-year-controlled 2026 prospectus amount.</x:v>
      </x:c>
      <x:c r="AA273" s="46"/>
      <x:c r="AB273" s="46" t="str">
        <x:v>Published by provider</x:v>
      </x:c>
      <x:c r="AC273" s="47" t="str">
        <x:v>22/02/2027</x:v>
      </x:c>
    </x:row>
    <x:row r="274" ht="48" customHeight="1">
      <x:c r="A274" s="51" t="str">
        <x:v>Western Institute of Technology at Taranaki</x:v>
      </x:c>
      <x:c r="B274" s="52" t="str">
        <x:v>WITT</x:v>
      </x:c>
      <x:c r="C274" s="52" t="str">
        <x:v>Creative Arts &amp; Media</x:v>
      </x:c>
      <x:c r="D274" s="52" t="str">
        <x:v>New Zealand Diploma in Arts and Design (Level 5)</x:v>
      </x:c>
      <x:c r="E274" s="52"/>
      <x:c r="F274" s="52" t="n">
        <x:v>5</x:v>
      </x:c>
      <x:c r="G274" s="52" t="str">
        <x:v>Diploma</x:v>
      </x:c>
      <x:c r="H274" s="52" t="str">
        <x:v>On campus / in-person (may include blended components)</x:v>
      </x:c>
      <x:c r="I274" s="52" t="str">
        <x:v>Yes — provider publishes international/on-campus availability</x:v>
      </x:c>
      <x:c r="J274" s="52" t="str">
        <x:v>New Plymouth</x:v>
      </x:c>
      <x:c r="K274" s="52" t="str">
        <x:v>1 year full-time or part-time equivalent</x:v>
      </x:c>
      <x:c r="L274" s="52"/>
      <x:c r="M274" s="52" t="str">
        <x:v>22/02/2027</x:v>
      </x:c>
      <x:c r="N274" s="52" t="str">
        <x:v>$22,586</x:v>
      </x:c>
      <x:c r="O274" s="52" t="str">
        <x:v>2026 tuition; CSSF additional</x:v>
      </x:c>
      <x:c r="P274" s="52" t="str">
        <x:v>2026</x:v>
      </x:c>
      <x:c r="Q274" s="52" t="str">
        <x:v>Not published; 2026 fee shown only</x:v>
      </x:c>
      <x:c r="R274"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Arts and Design (Level 5) Enquire now Apply now Apply now Enquire now Home Study Programmes Arts and Design (Creative) Arts and Design New Zealand Diploma in Arts an</x:v>
      </x:c>
      <x:c r="S274"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Arts and Design</x:v>
      </x:c>
      <x:c r="T274" s="52"/>
      <x:c r="U274" s="52" t="str">
        <x:v>Automatic 2026 WITT international scholarship: $1,500</x:v>
      </x:c>
      <x:c r="V274" s="58" t="str">
        <x:v>https://www.witt.ac.nz/study/arts-and-design-creative/arts-and-design/new-zealand-diploma-in-arts-and-design-level-5</x:v>
      </x:c>
      <x:c r="W274" s="58" t="str">
        <x:v>https://www.witt.ac.nz/assets/International/WITT-International-Prospectus-2026_Sep25_Edition.pdf</x:v>
      </x:c>
      <x:c r="X274" s="52" t="str">
        <x:v>2026-07-29</x:v>
      </x:c>
      <x:c r="Y274" s="52" t="str">
        <x:v>Double-checked: live programme page + official international source</x:v>
      </x:c>
      <x:c r="Z274" s="52" t="str">
        <x:v>Where the live page displays a different unlabeled amount, the workbook retains the fee-year-controlled 2026 prospectus amount.</x:v>
      </x:c>
      <x:c r="AA274" s="52"/>
      <x:c r="AB274" s="52" t="str">
        <x:v>Published by provider</x:v>
      </x:c>
      <x:c r="AC274" s="53" t="str">
        <x:v>22/02/2027</x:v>
      </x:c>
    </x:row>
    <x:row r="275" ht="48" customHeight="1">
      <x:c r="A275" s="45" t="str">
        <x:v>Western Institute of Technology at Taranaki</x:v>
      </x:c>
      <x:c r="B275" s="46" t="str">
        <x:v>WITT</x:v>
      </x:c>
      <x:c r="C275" s="46" t="str">
        <x:v>Foundation &amp; Pathways</x:v>
      </x:c>
      <x:c r="D275" s="46" t="str">
        <x:v>New Zealand Certificate in Study and Employment Pathways (Level 4)</x:v>
      </x:c>
      <x:c r="E275" s="46"/>
      <x:c r="F275" s="46" t="n">
        <x:v>4</x:v>
      </x:c>
      <x:c r="G275" s="46" t="str">
        <x:v>Certificate</x:v>
      </x:c>
      <x:c r="H275" s="46" t="str">
        <x:v>On campus / in-person (may include blended components)</x:v>
      </x:c>
      <x:c r="I275" s="46" t="str">
        <x:v>Yes — provider publishes international/on-campus availability</x:v>
      </x:c>
      <x:c r="J275" s="46" t="str">
        <x:v>New Plymouth</x:v>
      </x:c>
      <x:c r="K275" s="46" t="str">
        <x:v>One semester full time</x:v>
      </x:c>
      <x:c r="L275" s="46"/>
      <x:c r="M275" s="46" t="str">
        <x:v>22/02/2027; 19/07/2027</x:v>
      </x:c>
      <x:c r="N275" s="46" t="str">
        <x:v>$11,293</x:v>
      </x:c>
      <x:c r="O275" s="46" t="str">
        <x:v>2026 tuition; CSSF additional</x:v>
      </x:c>
      <x:c r="P275" s="46" t="str">
        <x:v>2026</x:v>
      </x:c>
      <x:c r="Q275" s="46" t="str">
        <x:v>Not published; 2026 fee shown only</x:v>
      </x:c>
      <x:c r="R275"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Study and Employment Pathways (Level 4) Enquire now Apply now Apply now Enquire now Home Study Programmes Foundation Studies Foundation Skills New Zealand Certif</x:v>
      </x:c>
      <x:c r="S275"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Study and E</x:v>
      </x:c>
      <x:c r="T275" s="46"/>
      <x:c r="U275" s="46" t="str">
        <x:v>Automatic 2026 WITT international scholarship: $500</x:v>
      </x:c>
      <x:c r="V275" s="59" t="str">
        <x:v>https://www.witt.ac.nz/study/foundation-studies/foundation-skills/new-zealand-certificate-in-study-and-employment-pathways-level-4</x:v>
      </x:c>
      <x:c r="W275" s="59" t="str">
        <x:v>https://www.witt.ac.nz/assets/International/WITT-International-Prospectus-2026_Sep25_Edition.pdf</x:v>
      </x:c>
      <x:c r="X275" s="46" t="str">
        <x:v>2026-07-29</x:v>
      </x:c>
      <x:c r="Y275" s="46" t="str">
        <x:v>Double-checked: live programme page + official international source</x:v>
      </x:c>
      <x:c r="Z275" s="46" t="str">
        <x:v>Where the live page displays a different unlabeled amount, the workbook retains the fee-year-controlled 2026 prospectus amount.</x:v>
      </x:c>
      <x:c r="AA275" s="46"/>
      <x:c r="AB275" s="46" t="str">
        <x:v>Published by provider</x:v>
      </x:c>
      <x:c r="AC275" s="47" t="str">
        <x:v>22/02/2027; 19/07/2027</x:v>
      </x:c>
    </x:row>
    <x:row r="276" ht="48" customHeight="1">
      <x:c r="A276" s="51" t="str">
        <x:v>Western Institute of Technology at Taranaki</x:v>
      </x:c>
      <x:c r="B276" s="52" t="str">
        <x:v>WITT</x:v>
      </x:c>
      <x:c r="C276" s="52" t="str">
        <x:v>Health &amp; Nursing</x:v>
      </x:c>
      <x:c r="D276" s="52" t="str">
        <x:v>Bachelor of Nursing (Puahou Tapuhi o Aotearoa)</x:v>
      </x:c>
      <x:c r="E276" s="52"/>
      <x:c r="F276" s="52" t="n">
        <x:v>7</x:v>
      </x:c>
      <x:c r="G276" s="52" t="str">
        <x:v>Bachelor's Degree</x:v>
      </x:c>
      <x:c r="H276" s="52" t="str">
        <x:v>On campus / in-person (may include blended components)</x:v>
      </x:c>
      <x:c r="I276" s="52" t="str">
        <x:v>Yes — provider publishes international/on-campus availability</x:v>
      </x:c>
      <x:c r="J276" s="52" t="str">
        <x:v>New Plymouth</x:v>
      </x:c>
      <x:c r="K276" s="52" t="str">
        <x:v>3 years full-time or part-time equivalent</x:v>
      </x:c>
      <x:c r="L276" s="52"/>
      <x:c r="M276" s="52" t="str">
        <x:v>22/02/2027</x:v>
      </x:c>
      <x:c r="N276" s="52" t="str">
        <x:v>$29,761</x:v>
      </x:c>
      <x:c r="O276" s="52" t="str">
        <x:v>2026 tuition; CSSF additional</x:v>
      </x:c>
      <x:c r="P276" s="52" t="str">
        <x:v>2026</x:v>
      </x:c>
      <x:c r="Q276" s="52" t="str">
        <x:v>Not published; 2026 fee shown only</x:v>
      </x:c>
      <x:c r="R276"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Bachelor of Nursing (Puahou Tapuhi o Aotearoa) Enquire now Apply now Apply now Enquire now Home Study Programmes Nursing and Wellness Nursing Bachelor of Nursing (Puahou Tapuhi o Aotearoa)</x:v>
      </x:c>
      <x:c r="S276"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Bachelor of Nursing (Puahou Tapuhi o A</x:v>
      </x:c>
      <x:c r="T276" s="52"/>
      <x:c r="U276" s="52" t="str">
        <x:v>Automatic 2026 WITT international scholarship: $1,000</x:v>
      </x:c>
      <x:c r="V276" s="58" t="str">
        <x:v>https://www.witt.ac.nz/study/nursing-and-wellness/nursing/bachelor-of-nursing-level-7</x:v>
      </x:c>
      <x:c r="W276" s="58" t="str">
        <x:v>https://www.witt.ac.nz/assets/International/WITT-International-Prospectus-2026_Sep25_Edition.pdf</x:v>
      </x:c>
      <x:c r="X276" s="52" t="str">
        <x:v>2026-07-29</x:v>
      </x:c>
      <x:c r="Y276" s="52" t="str">
        <x:v>Double-checked: live programme page + official international source</x:v>
      </x:c>
      <x:c r="Z276" s="52" t="str">
        <x:v>Where the live page displays a different unlabeled amount, the workbook retains the fee-year-controlled 2026 prospectus amount.</x:v>
      </x:c>
      <x:c r="AA276" s="52"/>
      <x:c r="AB276" s="52" t="str">
        <x:v>Published by provider</x:v>
      </x:c>
      <x:c r="AC276" s="53" t="str">
        <x:v>22/02/2027</x:v>
      </x:c>
    </x:row>
    <x:row r="277" ht="48" customHeight="1">
      <x:c r="A277" s="45" t="str">
        <x:v>Western Institute of Technology at Taranaki</x:v>
      </x:c>
      <x:c r="B277" s="46" t="str">
        <x:v>WITT</x:v>
      </x:c>
      <x:c r="C277" s="46" t="str">
        <x:v>Health &amp; Nursing</x:v>
      </x:c>
      <x:c r="D277" s="46" t="str">
        <x:v>New Zealand Diploma in Enrolled Nursing (Level 5)</x:v>
      </x:c>
      <x:c r="E277" s="46"/>
      <x:c r="F277" s="46" t="n">
        <x:v>5</x:v>
      </x:c>
      <x:c r="G277" s="46" t="str">
        <x:v>Diploma</x:v>
      </x:c>
      <x:c r="H277" s="46" t="str">
        <x:v>On campus / in-person (may include blended components)</x:v>
      </x:c>
      <x:c r="I277" s="46" t="str">
        <x:v>Yes — provider publishes international/on-campus availability</x:v>
      </x:c>
      <x:c r="J277" s="46" t="str">
        <x:v>New Plymouth</x:v>
      </x:c>
      <x:c r="K277" s="46" t="str">
        <x:v>18 months</x:v>
      </x:c>
      <x:c r="L277" s="46"/>
      <x:c r="M277" s="46" t="str">
        <x:v>22/02/2027</x:v>
      </x:c>
      <x:c r="N277" s="46" t="str">
        <x:v>$39,858</x:v>
      </x:c>
      <x:c r="O277" s="46" t="str">
        <x:v>2026 tuition; CSSF additional</x:v>
      </x:c>
      <x:c r="P277" s="46" t="str">
        <x:v>2026</x:v>
      </x:c>
      <x:c r="Q277" s="46" t="str">
        <x:v>Not published; 2026 fee shown only</x:v>
      </x:c>
      <x:c r="R277"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Enrolled Nursing (Level 5) Enquire now Apply now Apply now Enquire now Home Study Programmes Nursing and Wellness Nursing New Zealand Diploma in Enrolled Nursing (Le</x:v>
      </x:c>
      <x:c r="S277"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Diploma in Enrolled Nursin</x:v>
      </x:c>
      <x:c r="T277" s="46"/>
      <x:c r="U277" s="46" t="str">
        <x:v>Automatic 2026 WITT international scholarship: $1,000</x:v>
      </x:c>
      <x:c r="V277" s="59" t="str">
        <x:v>https://www.witt.ac.nz/study/nursing-and-wellness/nursing/new-zealand-diploma-in-enrolled-nursing-level-5</x:v>
      </x:c>
      <x:c r="W277" s="59" t="str">
        <x:v>https://www.witt.ac.nz/assets/International/WITT-International-Prospectus-2026_Sep25_Edition.pdf</x:v>
      </x:c>
      <x:c r="X277" s="46" t="str">
        <x:v>2026-07-29</x:v>
      </x:c>
      <x:c r="Y277" s="46" t="str">
        <x:v>Double-checked: live programme page + official international source</x:v>
      </x:c>
      <x:c r="Z277" s="46" t="str">
        <x:v>Where the live page displays a different unlabeled amount, the workbook retains the fee-year-controlled 2026 prospectus amount.</x:v>
      </x:c>
      <x:c r="AA277" s="46"/>
      <x:c r="AB277" s="46" t="str">
        <x:v>Published by provider</x:v>
      </x:c>
      <x:c r="AC277" s="47" t="str">
        <x:v>22/02/2027</x:v>
      </x:c>
    </x:row>
    <x:row r="278" ht="48" customHeight="1">
      <x:c r="A278" s="51" t="str">
        <x:v>Western Institute of Technology at Taranaki</x:v>
      </x:c>
      <x:c r="B278" s="52" t="str">
        <x:v>WITT</x:v>
      </x:c>
      <x:c r="C278" s="52" t="str">
        <x:v>Health &amp; Nursing</x:v>
      </x:c>
      <x:c r="D278" s="52" t="str">
        <x:v>New Zealand Certificate in Health &amp; Wellbeing (Level 4)</x:v>
      </x:c>
      <x:c r="E278" s="52"/>
      <x:c r="F278" s="52" t="n">
        <x:v>4</x:v>
      </x:c>
      <x:c r="G278" s="52" t="str">
        <x:v>Certificate</x:v>
      </x:c>
      <x:c r="H278" s="52" t="str">
        <x:v>On campus / in-person (may include blended components)</x:v>
      </x:c>
      <x:c r="I278" s="52" t="str">
        <x:v>Yes — provider publishes international/on-campus availability</x:v>
      </x:c>
      <x:c r="J278" s="52" t="str">
        <x:v>New Plymouth</x:v>
      </x:c>
      <x:c r="K278" s="52" t="str">
        <x:v>1 year full-time or part-time equivalent</x:v>
      </x:c>
      <x:c r="L278" s="52"/>
      <x:c r="M278" s="52" t="str">
        <x:v>22/02/2027</x:v>
      </x:c>
      <x:c r="N278" s="52" t="str">
        <x:v>$22,586</x:v>
      </x:c>
      <x:c r="O278" s="52" t="str">
        <x:v>2026 tuition; CSSF additional</x:v>
      </x:c>
      <x:c r="P278" s="52" t="str">
        <x:v>2026</x:v>
      </x:c>
      <x:c r="Q278" s="52" t="str">
        <x:v>Not published; 2026 fee shown only</x:v>
      </x:c>
      <x:c r="R278"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Health &amp; Wellbeing (Level 4) with strand in Mental Health and Addiction Support Enquire now with strand in Mental Health and Addiction Support Apply now Apply no</x:v>
      </x:c>
      <x:c r="S278"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Health &amp; We</x:v>
      </x:c>
      <x:c r="T278" s="52"/>
      <x:c r="U278" s="52" t="str">
        <x:v>Automatic 2026 WITT international scholarship: $1,500</x:v>
      </x:c>
      <x:c r="V278" s="58" t="str">
        <x:v>https://www.witt.ac.nz/study/nursing-and-wellness/health-and-wellbeing/new-zealand-certificate-in-health-and-wellbeing-social-and-community-services-level-4</x:v>
      </x:c>
      <x:c r="W278" s="58" t="str">
        <x:v>https://www.witt.ac.nz/assets/International/WITT-International-Prospectus-2026_Sep25_Edition.pdf</x:v>
      </x:c>
      <x:c r="X278" s="52" t="str">
        <x:v>2026-07-29</x:v>
      </x:c>
      <x:c r="Y278" s="52" t="str">
        <x:v>Double-checked: live programme page + official international source</x:v>
      </x:c>
      <x:c r="Z278" s="52" t="str">
        <x:v>Where the live page displays a different unlabeled amount, the workbook retains the fee-year-controlled 2026 prospectus amount.</x:v>
      </x:c>
      <x:c r="AA278" s="52"/>
      <x:c r="AB278" s="52" t="str">
        <x:v>Published by provider</x:v>
      </x:c>
      <x:c r="AC278" s="53" t="str">
        <x:v>22/02/2027</x:v>
      </x:c>
    </x:row>
    <x:row r="279" ht="48" customHeight="1">
      <x:c r="A279" s="45" t="str">
        <x:v>Western Institute of Technology at Taranaki</x:v>
      </x:c>
      <x:c r="B279" s="46" t="str">
        <x:v>WITT</x:v>
      </x:c>
      <x:c r="C279" s="46" t="str">
        <x:v>Hospitality &amp; Tourism</x:v>
      </x:c>
      <x:c r="D279" s="46" t="str">
        <x:v>New Zealand Certificate in Cookery (Level 4)</x:v>
      </x:c>
      <x:c r="E279" s="46"/>
      <x:c r="F279" s="46" t="n">
        <x:v>4</x:v>
      </x:c>
      <x:c r="G279" s="46" t="str">
        <x:v>Certificate</x:v>
      </x:c>
      <x:c r="H279" s="46" t="str">
        <x:v>On campus / in-person (may include blended components)</x:v>
      </x:c>
      <x:c r="I279" s="46" t="str">
        <x:v>Yes — provider publishes international/on-campus availability</x:v>
      </x:c>
      <x:c r="J279" s="46" t="str">
        <x:v>New Plymouth</x:v>
      </x:c>
      <x:c r="K279" s="46" t="str">
        <x:v>1 year full-time</x:v>
      </x:c>
      <x:c r="L279" s="46"/>
      <x:c r="M279" s="46" t="str">
        <x:v>22/02/2027</x:v>
      </x:c>
      <x:c r="N279" s="46" t="str">
        <x:v>$22,586</x:v>
      </x:c>
      <x:c r="O279" s="46" t="str">
        <x:v>2026 tuition; CSSF additional</x:v>
      </x:c>
      <x:c r="P279" s="46" t="str">
        <x:v>2026</x:v>
      </x:c>
      <x:c r="Q279" s="46" t="str">
        <x:v>Not published; 2026 fee shown only</x:v>
      </x:c>
      <x:c r="R279"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Cookery (Level 4) Enquire now Apply now Apply now Enquire now Home Study Programmes Hospitality Cookery New Zealand Certificate in Cookery (Level 4) Do you want </x:v>
      </x:c>
      <x:c r="S279" s="46"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Cookery (Le</x:v>
      </x:c>
      <x:c r="T279" s="46"/>
      <x:c r="U279" s="46" t="str">
        <x:v>Automatic 2026 WITT international scholarship: $1,500</x:v>
      </x:c>
      <x:c r="V279" s="59" t="str">
        <x:v>https://www.witt.ac.nz/study/hospitality/cookery/new-zealand-certificate-in-cookery-level-4</x:v>
      </x:c>
      <x:c r="W279" s="59" t="str">
        <x:v>https://www.witt.ac.nz/assets/International/WITT-International-Prospectus-2026_Sep25_Edition.pdf</x:v>
      </x:c>
      <x:c r="X279" s="46" t="str">
        <x:v>2026-07-29</x:v>
      </x:c>
      <x:c r="Y279" s="46" t="str">
        <x:v>Double-checked: live programme page + official international source</x:v>
      </x:c>
      <x:c r="Z279" s="46" t="str">
        <x:v>Where the live page displays a different unlabeled amount, the workbook retains the fee-year-controlled 2026 prospectus amount.</x:v>
      </x:c>
      <x:c r="AA279" s="46"/>
      <x:c r="AB279" s="46" t="str">
        <x:v>Published by provider</x:v>
      </x:c>
      <x:c r="AC279" s="47" t="str">
        <x:v>22/02/2027</x:v>
      </x:c>
    </x:row>
    <x:row r="280" ht="48" customHeight="1">
      <x:c r="A280" s="51" t="str">
        <x:v>Western Institute of Technology at Taranaki</x:v>
      </x:c>
      <x:c r="B280" s="52" t="str">
        <x:v>WITT</x:v>
      </x:c>
      <x:c r="C280" s="52" t="str">
        <x:v>Other</x:v>
      </x:c>
      <x:c r="D280" s="52" t="str">
        <x:v>New Zealand Certificate in Agriculture (Dairy Farming) (Level 4)</x:v>
      </x:c>
      <x:c r="E280" s="52"/>
      <x:c r="F280" s="52" t="n">
        <x:v>4</x:v>
      </x:c>
      <x:c r="G280" s="52" t="str">
        <x:v>Certificate</x:v>
      </x:c>
      <x:c r="H280" s="52" t="str">
        <x:v>On campus / in-person (may include blended components)</x:v>
      </x:c>
      <x:c r="I280" s="52" t="str">
        <x:v>Yes — provider publishes international/on-campus availability</x:v>
      </x:c>
      <x:c r="J280" s="52" t="str">
        <x:v>New Plymouth</x:v>
      </x:c>
      <x:c r="K280" s="52" t="str">
        <x:v>1 year full time</x:v>
      </x:c>
      <x:c r="L280" s="52"/>
      <x:c r="M280" s="52" t="str">
        <x:v>22/02/2027</x:v>
      </x:c>
      <x:c r="N280" s="52" t="str">
        <x:v>$27,688</x:v>
      </x:c>
      <x:c r="O280" s="52" t="str">
        <x:v>2026 tuition; CSSF additional</x:v>
      </x:c>
      <x:c r="P280" s="52" t="str">
        <x:v>2026</x:v>
      </x:c>
      <x:c r="Q280" s="52" t="str">
        <x:v>Not published; 2026 fee shown only</x:v>
      </x:c>
      <x:c r="R280"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Agriculture (Dairy Farming) (Level 4) Enquire now Apply now Apply now Enquire now Home Study Programmes Primary Industries Agriculture New Zealand Certificate in</x:v>
      </x:c>
      <x:c r="S280" s="52" t="str">
        <x:v>Student support and services Insurance Life in Taranaki Taranaki Region Getting around Accommodation International Scholarships International Prospectus International Student Handbook International Agents Post Study Work Visa Eligibility Local Immigration Advice Agent Resources Programme Information Updates &amp; Announcements Training Resources About Us Ko Wai Mātou WITT leadership Our Mission WITT publications Strategy and vision Annual Reports Research Energy Education Newsletters Work at WITT Services Industrie Impressions Restaurant Contact Us Campus map Moodle MyWITT iQualify Library Contact us Call Us New Zealand Certificate in Agriculture</x:v>
      </x:c>
      <x:c r="T280" s="52"/>
      <x:c r="U280" s="52" t="str">
        <x:v>Automatic 2026 WITT international scholarship: $1,000</x:v>
      </x:c>
      <x:c r="V280" s="58" t="str">
        <x:v>https://www.witt.ac.nz/study/primary-industries/agriculture/new-zealand-certificate-in-agriculture-dairy-farming-level-4</x:v>
      </x:c>
      <x:c r="W280" s="58" t="str">
        <x:v>https://www.witt.ac.nz/assets/International/WITT-International-Prospectus-2026_Sep25_Edition.pdf</x:v>
      </x:c>
      <x:c r="X280" s="52" t="str">
        <x:v>2026-07-29</x:v>
      </x:c>
      <x:c r="Y280" s="52" t="str">
        <x:v>Double-checked: live programme page + official international source</x:v>
      </x:c>
      <x:c r="Z280" s="52" t="str">
        <x:v>Where the live page displays a different unlabeled amount, the workbook retains the fee-year-controlled 2026 prospectus amount.</x:v>
      </x:c>
      <x:c r="AA280" s="52"/>
      <x:c r="AB280" s="52" t="str">
        <x:v>Published by provider</x:v>
      </x:c>
      <x:c r="AC280" s="53" t="str">
        <x:v>22/02/2027</x:v>
      </x:c>
    </x:row>
    <x:row r="281" ht="48" customHeight="1">
      <x:c r="A281" s="45" t="str">
        <x:v>Whitireia and WelTec Polytechnic</x:v>
      </x:c>
      <x:c r="B281" s="46" t="str">
        <x:v>Whitireia/WelTec</x:v>
      </x:c>
      <x:c r="C281" s="46" t="str">
        <x:v>Health &amp; Nursing</x:v>
      </x:c>
      <x:c r="D281" s="46" t="str">
        <x:v>Bachelor of Health Science (Paramedic)</x:v>
      </x:c>
      <x:c r="E281" s="46"/>
      <x:c r="F281" s="46" t="n">
        <x:v>7</x:v>
      </x:c>
      <x:c r="G281" s="46" t="str">
        <x:v>Bachelor's Degree</x:v>
      </x:c>
      <x:c r="H281" s="46" t="str">
        <x:v>On campus / in-person (may include blended components)</x:v>
      </x:c>
      <x:c r="I281" s="46" t="str">
        <x:v>Yes — provider publishes international/on-campus availability</x:v>
      </x:c>
      <x:c r="J281" s="46" t="str">
        <x:v>Porirua</x:v>
      </x:c>
      <x:c r="K281" s="46" t="str">
        <x:v>3 years, full-time</x:v>
      </x:c>
      <x:c r="L281" s="46"/>
      <x:c r="M281" s="46" t="str">
        <x:v>15/02/2027</x:v>
      </x:c>
      <x:c r="N281" s="46" t="str">
        <x:v>$27,000* per year</x:v>
      </x:c>
      <x:c r="O281" s="46" t="str">
        <x:v>per year</x:v>
      </x:c>
      <x:c r="P281" s="46" t="str">
        <x:v>2026</x:v>
      </x:c>
      <x:c r="Q281" s="46" t="str">
        <x:v>Not published; 2026 fee shown only</x:v>
      </x:c>
      <x:c r="R281" s="46" t="str">
        <x:v>Funding your study Calendar &amp; key dates RPL Join us at our Open Days! Come along and tour our hands-on learning spaces, see our courses in action, and chat with our friendly kaimahi about how we can support your journey. Programmes Secondary Schools Hub Need help choosing? Talk to us Study search tool Enrolment information How to apply Entry requirements Funding your study Calendar &amp; key dates RPL Find Your Future Whaia Te Pae Tawhiti Enrolment Information Pārongo Whakauru Current Students Ngā Ākonga International Students Ngā Ākonga Tūārangi About Us Ko Wai Mātou News Events Library Contact Us Bachelor of Health Science (Paramedic) Apply Now Chat to our Kaimahi (Team Member) Bachelor of Health Science (Paramedic) Apply Now Chat to our kaimahi (Team Member) Apply Now Home Study Programmes </x:v>
      </x:c>
      <x:c r="S281" s="46" t="str">
        <x:v>IELTS (Academic) 6.5 in each band. Find your country's equivalent academic entry requirements here *For fee exclusions, please see our terms and conditions. International ākonga study g</x:v>
      </x:c>
      <x:c r="T281" s="46"/>
      <x:c r="U281" s="46" t="str">
        <x:v>2026 Study Grant may be offered for eligible countries; terms must be confirmed with the international team.</x:v>
      </x:c>
      <x:c r="V281" s="59" t="str">
        <x:v>https://www.whitireiaweltec.ac.nz/study-programmes/health/paramedicine/bachelor-of-health-science-paramedic</x:v>
      </x:c>
      <x:c r="W281" s="59" t="str">
        <x:v>https://www.whitireiaweltec.ac.nz/assets/NonProgrammeDocuments/International-Students/International-Info-Card.pdf</x:v>
      </x:c>
      <x:c r="X281" s="46" t="str">
        <x:v>2026-07-29</x:v>
      </x:c>
      <x:c r="Y281" s="46" t="str">
        <x:v>Double-checked: live programme page + official international source</x:v>
      </x:c>
      <x:c r="Z281" s="46" t="str">
        <x:v>Distance-only occurrences excluded. 2027 tuition not published in the 2026 info card.</x:v>
      </x:c>
      <x:c r="AA281" s="46"/>
      <x:c r="AB281" s="46" t="str">
        <x:v>Published by provider</x:v>
      </x:c>
      <x:c r="AC281" s="47" t="str">
        <x:v>15/02/2027</x:v>
      </x:c>
    </x:row>
    <x:row r="282" ht="48" customHeight="1">
      <x:c r="A282" s="54" t="str">
        <x:v>Whitireia and WelTec Polytechnic</x:v>
      </x:c>
      <x:c r="B282" s="55" t="str">
        <x:v>Whitireia/WelTec</x:v>
      </x:c>
      <x:c r="C282" s="55" t="str">
        <x:v>Health &amp; Nursing</x:v>
      </x:c>
      <x:c r="D282" s="55" t="str">
        <x:v>Bachelor of Nursing</x:v>
      </x:c>
      <x:c r="E282" s="55"/>
      <x:c r="F282" s="55" t="n">
        <x:v>7</x:v>
      </x:c>
      <x:c r="G282" s="55" t="str">
        <x:v>Bachelor's Degree</x:v>
      </x:c>
      <x:c r="H282" s="55" t="str">
        <x:v>On campus / in-person (may include blended components)</x:v>
      </x:c>
      <x:c r="I282" s="55" t="str">
        <x:v>Yes — provider publishes international/on-campus availability</x:v>
      </x:c>
      <x:c r="J282" s="55" t="str">
        <x:v>Porirua</x:v>
      </x:c>
      <x:c r="K282" s="55" t="str">
        <x:v>3 years, full-time</x:v>
      </x:c>
      <x:c r="L282" s="55"/>
      <x:c r="M282" s="55" t="str">
        <x:v>15/02/2027</x:v>
      </x:c>
      <x:c r="N282" s="55" t="str">
        <x:v>$29,706* per year</x:v>
      </x:c>
      <x:c r="O282" s="55" t="str">
        <x:v>per year</x:v>
      </x:c>
      <x:c r="P282" s="55" t="str">
        <x:v>2026</x:v>
      </x:c>
      <x:c r="Q282" s="55" t="str">
        <x:v>Not published; 2026 fee shown only</x:v>
      </x:c>
      <x:c r="R282" s="55" t="str">
        <x:v>Funding your study Calendar &amp; key dates RPL Join us at our Open Days! Come along and tour our hands-on learning spaces, see our courses in action, and chat with our friendly kaimahi about how we can support your journey. Programmes Secondary Schools Hub Need help choosing? Talk to us Study search tool Enrolment information How to apply Entry requirements Funding your study Calendar &amp; key dates RPL Find Your Future Whaia Te Pae Tawhiti Enrolment Information Pārongo Whakauru Current Students Ngā Ākonga International Students Ngā Ākonga Tūārangi About Us Ko Wai Mātou News Events Library Contact Us Bachelor of Nursing Apply Now Chat to our Kaimahi (Team Member) Bachelor of Nursing Apply Now Chat to our kaimahi (Team Member) Apply Now Home Study Programmes Health Nursing Bachelor of Nursing Sen</x:v>
      </x:c>
      <x:c r="S282" s="55" t="str">
        <x:v>IELTS (Academic) 6.5 in each band. Find your country's equivalent academic entry requirements here *For fee exclusions, please see our terms and conditions. How to apply Applicants shou</x:v>
      </x:c>
      <x:c r="T282" s="55"/>
      <x:c r="U282" s="55" t="str">
        <x:v>2026 Study Grant may be offered for eligible countries; terms must be confirmed with the international team.</x:v>
      </x:c>
      <x:c r="V282" s="60" t="str">
        <x:v>https://www.whitireiaweltec.ac.nz/study-programmes/health/nursing/bachelor-of-nursing</x:v>
      </x:c>
      <x:c r="W282" s="60" t="str">
        <x:v>https://www.whitireiaweltec.ac.nz/assets/NonProgrammeDocuments/International-Students/International-Info-Card.pdf</x:v>
      </x:c>
      <x:c r="X282" s="55" t="str">
        <x:v>2026-07-29</x:v>
      </x:c>
      <x:c r="Y282" s="55" t="str">
        <x:v>Double-checked: live programme page + official international source</x:v>
      </x:c>
      <x:c r="Z282" s="55" t="str">
        <x:v>Distance-only occurrences excluded. 2027 tuition not published in the 2026 info card.</x:v>
      </x:c>
      <x:c r="AA282" s="55"/>
      <x:c r="AB282" s="55" t="str">
        <x:v>Published by provider</x:v>
      </x:c>
      <x:c r="AC282" s="56" t="str">
        <x:v>15/02/2027</x:v>
      </x:c>
    </x:row>
  </x:sheetData>
  <x:mergeCells>
    <x:mergeCell ref="A1:AC1"/>
    <x:mergeCell ref="A2:AC2"/>
  </x:mergeCells>
  <x:conditionalFormatting sqref="Q5:Q282">
    <x:cfRule type="containsText" dxfId="0" priority="1" operator="containsText" text="Not published"/>
  </x:conditionalFormatting>
  <x:conditionalFormatting sqref="I5:I282">
    <x:cfRule type="beginsWith" dxfId="1" priority="2" operator="beginsWith" text="Yes"/>
  </x:conditionalFormatting>
  <x:conditionalFormatting sqref="AA5:AA282">
    <x:cfRule type="notContainsBlanks" dxfId="2" priority="3"/>
  </x:conditionalFormatting>
  <x:conditionalFormatting sqref="AB5:AB282">
    <x:cfRule type="containsText" dxfId="3" priority="4" operator="containsText" text="Projected"/>
  </x:conditionalFormatting>
  <x:pageMargins left="0.7" right="0.7" top="0.75" bottom="0.75" header="0.3" footer="0.3"/>
  <x:tableParts count="1">
    <x:tablePart xmlns:r="http://schemas.openxmlformats.org/officeDocument/2006/relationships" r:id="R695de07eefa44ce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14" hidden="0" customWidth="1"/>
    <x:col min="4" max="4" width="55" hidden="0" customWidth="1"/>
    <x:col min="5" max="5" width="58" hidden="0" customWidth="1"/>
    <x:col min="6" max="6" width="32" hidden="0" customWidth="1"/>
    <x:col min="7" max="7" width="48" hidden="0" customWidth="1"/>
  </x:cols>
  <x:sheetData>
    <x:row r="1" ht="30" customHeight="1">
      <x:c r="A1" s="4" t="str">
        <x:v>Provider Source Register</x:v>
      </x:c>
      <x:c r="B1" s="4" t="str">
        <x:v>Provider Source Register</x:v>
      </x:c>
      <x:c r="C1" s="4" t="str">
        <x:v>Provider Source Register</x:v>
      </x:c>
      <x:c r="D1" s="4" t="str">
        <x:v>Provider Source Register</x:v>
      </x:c>
      <x:c r="E1" s="4" t="str">
        <x:v>Provider Source Register</x:v>
      </x:c>
      <x:c r="F1" s="4" t="str">
        <x:v>Provider Source Register</x:v>
      </x:c>
      <x:c r="G1" s="4" t="str">
        <x:v>Provider Source Register</x:v>
      </x:c>
    </x:row>
    <x:row r="2">
      <x:c r="A2" s="7" t="str">
        <x:v>Official English-language sources only. Live programme pages are primary; international prospectuses, fee sheets, or international programme lists are the second check.</x:v>
      </x:c>
      <x:c r="B2" s="7"/>
      <x:c r="C2" s="7"/>
      <x:c r="D2" s="7"/>
      <x:c r="E2" s="7"/>
      <x:c r="F2" s="7"/>
      <x:c r="G2" s="7"/>
    </x:row>
    <x:row r="4" ht="36" customHeight="1">
      <x:c r="A4" s="20" t="str">
        <x:v>Provider Entity</x:v>
      </x:c>
      <x:c r="B4" s="21" t="str">
        <x:v>Brand</x:v>
      </x:c>
      <x:c r="C4" s="21" t="str">
        <x:v>Verified Rows</x:v>
      </x:c>
      <x:c r="D4" s="21" t="str">
        <x:v>Programme / Intake Source</x:v>
      </x:c>
      <x:c r="E4" s="21" t="str">
        <x:v>Fee-Year Source</x:v>
      </x:c>
      <x:c r="F4" s="21" t="str">
        <x:v>Official Website</x:v>
      </x:c>
      <x:c r="G4" s="22" t="str">
        <x:v>Coverage Note</x:v>
      </x:c>
    </x:row>
    <x:row r="5" ht="54" customHeight="1">
      <x:c r="A5" s="103" t="str">
        <x:v>Ara Institute of Canterbury</x:v>
      </x:c>
      <x:c r="B5" s="104" t="str">
        <x:v>Ara</x:v>
      </x:c>
      <x:c r="C5" s="104" t="n">
        <x:f>COUNTIF('Programme Database'!B5:B282,B5)</x:f>
        <x:v>77</x:v>
      </x:c>
      <x:c r="D5" s="112" t="str">
        <x:v>https://www.ara.ac.nz/products/programme/</x:v>
      </x:c>
      <x:c r="E5" s="112" t="str">
        <x:v>https://search.ara.ac.nz/siteassets/documents---home/study/priority-learning-groups/international-students/international-brochures--study-guide/international-prospectus-2026.pdf</x:v>
      </x:c>
      <x:c r="F5" s="112" t="str">
        <x:v>https://www.ara.ac.nz/</x:v>
      </x:c>
      <x:c r="G5" s="105" t="str">
        <x:v>Live pages explicitly flag Study Visa availability.</x:v>
      </x:c>
    </x:row>
    <x:row r="6" ht="54" customHeight="1">
      <x:c r="A6" s="106" t="str">
        <x:v>Eastern Institute of Technology</x:v>
      </x:c>
      <x:c r="B6" s="107" t="str">
        <x:v>EIT</x:v>
      </x:c>
      <x:c r="C6" s="107" t="n">
        <x:f>COUNTIF('Programme Database'!B5:B282,B6)</x:f>
        <x:v>7</x:v>
      </x:c>
      <x:c r="D6" s="113" t="str">
        <x:v>https://www.eit.ac.nz/campus/international-students/international-programmes/</x:v>
      </x:c>
      <x:c r="E6" s="113" t="str">
        <x:v>https://www.eit.ac.nz/wp-content/uploads/programme-app-packs/int%20Programme%20Matrix.pdf</x:v>
      </x:c>
      <x:c r="F6" s="113" t="str">
        <x:v>https://www.eit.ac.nz/</x:v>
      </x:c>
      <x:c r="G6" s="108" t="str">
        <x:v>Online-only occurrences excluded.</x:v>
      </x:c>
    </x:row>
    <x:row r="7" ht="54" customHeight="1">
      <x:c r="A7" s="106" t="str">
        <x:v>Nelson Marlborough Institute of Technology</x:v>
      </x:c>
      <x:c r="B7" s="107" t="str">
        <x:v>NMIT</x:v>
      </x:c>
      <x:c r="C7" s="107" t="n">
        <x:f>COUNTIF('Programme Database'!B5:B282,B7)</x:f>
        <x:v>28</x:v>
      </x:c>
      <x:c r="D7" s="113" t="str">
        <x:v>https://www.nmit.ac.nz/study/planning-your-studies/upcoming-intakes</x:v>
      </x:c>
      <x:c r="E7" s="113" t="str">
        <x:v>https://www.nmit.ac.nz/assets/Uploads/Publications-and-brochures/Prospectus/NMIT-International-Prospectus-2026_Jul25-Web-V2.pdf</x:v>
      </x:c>
      <x:c r="F7" s="113" t="str">
        <x:v>https://www.nmit.ac.nz/</x:v>
      </x:c>
      <x:c r="G7" s="108" t="str">
        <x:v>2027 dates from live pages; 2026 fee year retained.</x:v>
      </x:c>
    </x:row>
    <x:row r="8" ht="54" customHeight="1">
      <x:c r="A8" s="106" t="str">
        <x:v>Southern Institute of Technology</x:v>
      </x:c>
      <x:c r="B8" s="107" t="str">
        <x:v>SIT</x:v>
      </x:c>
      <x:c r="C8" s="107" t="n">
        <x:f>COUNTIF('Programme Database'!B5:B282,B8)</x:f>
        <x:v>30</x:v>
      </x:c>
      <x:c r="D8" s="113" t="str">
        <x:v>https://www.sit.ac.nz/Courses</x:v>
      </x:c>
      <x:c r="E8" s="113" t="str">
        <x:v>https://www.sit.ac.nz/Portals/0/upload/documents/Prospectus/International-Prospectus.pdf</x:v>
      </x:c>
      <x:c r="F8" s="113" t="str">
        <x:v>https://www.sit.ac.nz/</x:v>
      </x:c>
      <x:c r="G8" s="108" t="str">
        <x:v>Distance-only programmes excluded.</x:v>
      </x:c>
    </x:row>
    <x:row r="9" ht="54" customHeight="1">
      <x:c r="A9" s="106" t="str">
        <x:v>Toi Ohomai Institute of Technology</x:v>
      </x:c>
      <x:c r="B9" s="107" t="str">
        <x:v>Toi Ohomai</x:v>
      </x:c>
      <x:c r="C9" s="107" t="n">
        <x:f>COUNTIF('Programme Database'!B5:B282,B9)</x:f>
        <x:v>46</x:v>
      </x:c>
      <x:c r="D9" s="113" t="str">
        <x:v>https://www.toiohomai.ac.nz/study/international-courses-list</x:v>
      </x:c>
      <x:c r="E9" s="113" t="str">
        <x:v>https://www.toiohomai.ac.nz/study/international-courses-list</x:v>
      </x:c>
      <x:c r="F9" s="113" t="str">
        <x:v>https://www.toiohomai.ac.nz/</x:v>
      </x:c>
      <x:c r="G9" s="108" t="str">
        <x:v>International list is the controlling inventory.</x:v>
      </x:c>
    </x:row>
    <x:row r="10" ht="54" customHeight="1">
      <x:c r="A10" s="106" t="str">
        <x:v>Waikato Institute of Technology</x:v>
      </x:c>
      <x:c r="B10" s="107" t="str">
        <x:v>Wintec</x:v>
      </x:c>
      <x:c r="C10" s="107" t="n">
        <x:f>COUNTIF('Programme Database'!B5:B282,B10)</x:f>
        <x:v>55</x:v>
      </x:c>
      <x:c r="D10" s="113" t="str">
        <x:v>https://www.wintec.ac.nz/study-at-wintec</x:v>
      </x:c>
      <x:c r="E10" s="113" t="str">
        <x:v>https://wintecprodpublicwebsite.blob.core.windows.net/sitefinity-storage/docs/default-source/internationaldocs/international-student-fees.pdf?sfvrsn=a772ea33_165</x:v>
      </x:c>
      <x:c r="F10" s="113" t="str">
        <x:v>https://www.wintec.ac.nz/</x:v>
      </x:c>
      <x:c r="G10" s="108" t="str">
        <x:v>Live page must say Available for International Students.</x:v>
      </x:c>
    </x:row>
    <x:row r="11" ht="54" customHeight="1">
      <x:c r="A11" s="106" t="str">
        <x:v>Manukau Institute of Technology and Unitec</x:v>
      </x:c>
      <x:c r="B11" s="107" t="str">
        <x:v>MIT</x:v>
      </x:c>
      <x:c r="C11" s="107" t="n">
        <x:f>COUNTIF('Programme Database'!B5:B282,B11)</x:f>
        <x:v>2</x:v>
      </x:c>
      <x:c r="D11" s="113" t="str">
        <x:v>https://www.manukau.ac.nz/study/international-students/areas-of-study/</x:v>
      </x:c>
      <x:c r="E11" s="113" t="str">
        <x:v>https://www.manukau.ac.nz/study/international-students/areas-of-study/</x:v>
      </x:c>
      <x:c r="F11" s="113" t="str">
        <x:v>https://www.manukau.ac.nz/</x:v>
      </x:c>
      <x:c r="G11" s="108" t="str">
        <x:v>Programmes marked not available internationally excluded.</x:v>
      </x:c>
    </x:row>
    <x:row r="12" ht="54" customHeight="1">
      <x:c r="A12" s="106" t="str">
        <x:v>Manukau Institute of Technology and Unitec</x:v>
      </x:c>
      <x:c r="B12" s="107" t="str">
        <x:v>Unitec</x:v>
      </x:c>
      <x:c r="C12" s="107" t="n">
        <x:f>COUNTIF('Programme Database'!B5:B282,B12)</x:f>
        <x:v>3</x:v>
      </x:c>
      <x:c r="D12" s="113" t="str">
        <x:v>https://www.unitec.ac.nz/career-and-study-options/all-international-programmes/</x:v>
      </x:c>
      <x:c r="E12" s="113" t="str">
        <x:v>https://www.unitec.ac.nz/international/study-with-us/international-fees/</x:v>
      </x:c>
      <x:c r="F12" s="113" t="str">
        <x:v>https://www.unitec.ac.nz/</x:v>
      </x:c>
      <x:c r="G12" s="108" t="str">
        <x:v>Only listed international programmes retained.</x:v>
      </x:c>
    </x:row>
    <x:row r="13" ht="54" customHeight="1">
      <x:c r="A13" s="106" t="str">
        <x:v>Otago Polytechnic</x:v>
      </x:c>
      <x:c r="B13" s="107" t="str">
        <x:v>Otago Polytechnic</x:v>
      </x:c>
      <x:c r="C13" s="107" t="n">
        <x:f>COUNTIF('Programme Database'!B5:B282,B13)</x:f>
        <x:v>7</x:v>
      </x:c>
      <x:c r="D13" s="113" t="str">
        <x:v>https://www.op.ac.nz/programmes/nzqa</x:v>
      </x:c>
      <x:c r="E13" s="113" t="str">
        <x:v>https://www.op.ac.nz/programmes/nzqa</x:v>
      </x:c>
      <x:c r="F13" s="113" t="str">
        <x:v>https://www.op.ac.nz/</x:v>
      </x:c>
      <x:c r="G13" s="108" t="str">
        <x:v>Physical Dunedin/Auckland occurrences only.</x:v>
      </x:c>
    </x:row>
    <x:row r="14" ht="54" customHeight="1">
      <x:c r="A14" s="106" t="str">
        <x:v>Universal College of Learning</x:v>
      </x:c>
      <x:c r="B14" s="107" t="str">
        <x:v>UCOL</x:v>
      </x:c>
      <x:c r="C14" s="107" t="n">
        <x:f>COUNTIF('Programme Database'!B5:B282,B14)</x:f>
        <x:v>0</x:v>
      </x:c>
      <x:c r="D14" s="113" t="str">
        <x:v>https://www.ucol.ac.nz/programmes</x:v>
      </x:c>
      <x:c r="E14" s="113" t="str">
        <x:v>https://www.ucol.ac.nz/programmes</x:v>
      </x:c>
      <x:c r="F14" s="113" t="str">
        <x:v>https://www.ucol.ac.nz/</x:v>
      </x:c>
      <x:c r="G14" s="108" t="str">
        <x:v>No qualifying new start found after cutoff in verified rows.</x:v>
      </x:c>
    </x:row>
    <x:row r="15" ht="54" customHeight="1">
      <x:c r="A15" s="106" t="str">
        <x:v>NorthTec</x:v>
      </x:c>
      <x:c r="B15" s="107" t="str">
        <x:v>NorthTec</x:v>
      </x:c>
      <x:c r="C15" s="107" t="n">
        <x:f>COUNTIF('Programme Database'!B5:B282,B15)</x:f>
        <x:v>8</x:v>
      </x:c>
      <x:c r="D15" s="113" t="str">
        <x:v>https://www.northtec.ac.nz/study</x:v>
      </x:c>
      <x:c r="E15" s="113" t="str">
        <x:v>https://www.northtec.ac.nz/resources/international-prospectus</x:v>
      </x:c>
      <x:c r="F15" s="113" t="str">
        <x:v>https://www.northtec.ac.nz/</x:v>
      </x:c>
      <x:c r="G15" s="108" t="str">
        <x:v>TBC retained where no international amount is published.</x:v>
      </x:c>
    </x:row>
    <x:row r="16" ht="54" customHeight="1">
      <x:c r="A16" s="106" t="str">
        <x:v>Western Institute of Technology at Taranaki</x:v>
      </x:c>
      <x:c r="B16" s="107" t="str">
        <x:v>WITT</x:v>
      </x:c>
      <x:c r="C16" s="107" t="n">
        <x:f>COUNTIF('Programme Database'!B5:B282,B16)</x:f>
        <x:v>13</x:v>
      </x:c>
      <x:c r="D16" s="113" t="str">
        <x:v>https://www.witt.ac.nz/international-students/international-study-programmes</x:v>
      </x:c>
      <x:c r="E16" s="113" t="str">
        <x:v>https://www.witt.ac.nz/assets/International/WITT-International-Prospectus-2026_Sep25_Edition.pdf</x:v>
      </x:c>
      <x:c r="F16" s="113" t="str">
        <x:v>https://www.witt.ac.nz/</x:v>
      </x:c>
      <x:c r="G16" s="108" t="str">
        <x:v>Fee-year-controlled 2026 prospectus wins over unlabeled live-page amounts.</x:v>
      </x:c>
    </x:row>
    <x:row r="17" ht="54" customHeight="1">
      <x:c r="A17" s="109" t="str">
        <x:v>Whitireia and WelTec Polytechnic</x:v>
      </x:c>
      <x:c r="B17" s="110" t="str">
        <x:v>Whitireia/WelTec</x:v>
      </x:c>
      <x:c r="C17" s="110" t="n">
        <x:f>COUNTIF('Programme Database'!B5:B282,B17)</x:f>
        <x:v>2</x:v>
      </x:c>
      <x:c r="D17" s="114" t="str">
        <x:v>https://www.whitireiaweltec.ac.nz/international-students</x:v>
      </x:c>
      <x:c r="E17" s="114" t="str">
        <x:v>https://www.whitireiaweltec.ac.nz/assets/NonProgrammeDocuments/International-Students/International-Info-Card.pdf</x:v>
      </x:c>
      <x:c r="F17" s="114" t="str">
        <x:v>https://www.whitireiaweltec.ac.nz/</x:v>
      </x:c>
      <x:c r="G17" s="111" t="str">
        <x:v>Online-only November 2026 occurrences excluded.</x:v>
      </x:c>
    </x:row>
  </x:sheetData>
  <x:mergeCells>
    <x:mergeCell ref="A1:G1"/>
    <x:mergeCell ref="A2:G2"/>
  </x:mergeCells>
  <x:pageMargins left="0.7" right="0.7" top="0.75" bottom="0.75" header="0.3" footer="0.3"/>
  <x:tableParts count="1">
    <x:tablePart xmlns:r="http://schemas.openxmlformats.org/officeDocument/2006/relationships" r:id="R78b802b8dd934c5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48" hidden="0" customWidth="1"/>
    <x:col min="3" max="3" width="46" hidden="0" customWidth="1"/>
    <x:col min="4" max="4" width="52" hidden="0" customWidth="1"/>
  </x:cols>
  <x:sheetData>
    <x:row r="1" ht="30" customHeight="1">
      <x:c r="A1" s="4" t="str">
        <x:v>Scope, Rules and Limitations</x:v>
      </x:c>
      <x:c r="B1" s="4" t="str">
        <x:v>Scope, Rules and Limitations</x:v>
      </x:c>
      <x:c r="C1" s="4" t="str">
        <x:v>Scope, Rules and Limitations</x:v>
      </x:c>
      <x:c r="D1" s="4" t="str">
        <x:v>Scope, Rules and Limitations</x:v>
      </x:c>
    </x:row>
    <x:row r="3" ht="36" customHeight="1">
      <x:c r="A3" s="20" t="str">
        <x:v>Rule</x:v>
      </x:c>
      <x:c r="B3" s="21" t="str">
        <x:v>Applied Standard</x:v>
      </x:c>
      <x:c r="C3" s="21" t="str">
        <x:v>Why It Matters</x:v>
      </x:c>
      <x:c r="D3" s="22" t="str">
        <x:v>Operational Treatment</x:v>
      </x:c>
    </x:row>
    <x:row r="4" ht="52" customHeight="1">
      <x:c r="A4" s="103" t="str">
        <x:v>Provider scope</x:v>
      </x:c>
      <x:c r="B4" s="104" t="str">
        <x:v>12 provider entities; Open Polytechnic removed</x:v>
      </x:c>
      <x:c r="C4" s="104" t="str">
        <x:v>Sorena does not work with online-only Open Polytechnic</x:v>
      </x:c>
      <x:c r="D4" s="105" t="str">
        <x:v>MIT and Unitec remain separate brands under one merged legal entity</x:v>
      </x:c>
    </x:row>
    <x:row r="5" ht="52" customHeight="1">
      <x:c r="A5" s="106" t="str">
        <x:v>NZQF level</x:v>
      </x:c>
      <x:c r="B5" s="107" t="str">
        <x:v>Levels 4–9 only</x:v>
      </x:c>
      <x:c r="C5" s="107" t="str">
        <x:v>Matches requested qualification range</x:v>
      </x:c>
      <x:c r="D5" s="108" t="str">
        <x:v>Levels 1–3 and 10 excluded</x:v>
      </x:c>
    </x:row>
    <x:row r="6" ht="52" customHeight="1">
      <x:c r="A6" s="106" t="str">
        <x:v>International eligibility</x:v>
      </x:c>
      <x:c r="B6" s="107" t="str">
        <x:v>Provider must publish international availability</x:v>
      </x:c>
      <x:c r="C6" s="107" t="str">
        <x:v>A domestic listing is not sufficient</x:v>
      </x:c>
      <x:c r="D6" s="108" t="str">
        <x:v>Not-available-to-international wording causes exclusion</x:v>
      </x:c>
    </x:row>
    <x:row r="7" ht="52" customHeight="1">
      <x:c r="A7" s="106" t="str">
        <x:v>Student visa</x:v>
      </x:c>
      <x:c r="B7" s="107" t="str">
        <x:v>Physical NZ study capable of supporting a student visa</x:v>
      </x:c>
      <x:c r="C7" s="107" t="str">
        <x:v>Online/offshore study does not satisfy the use case</x:v>
      </x:c>
      <x:c r="D7" s="108" t="str">
        <x:v>Online-only and distance-only occurrences excluded</x:v>
      </x:c>
    </x:row>
    <x:row r="8" ht="52" customHeight="1">
      <x:c r="A8" s="106" t="str">
        <x:v>Remaining 2026</x:v>
      </x:c>
      <x:c r="B8" s="107" t="str">
        <x:v>Start after 29 July 2026</x:v>
      </x:c>
      <x:c r="C8" s="107" t="str">
        <x:v>Already-started July programmes are not remaining intakes</x:v>
      </x:c>
      <x:c r="D8" s="108" t="str">
        <x:v>End dates in 2027 are not treated as new intakes</x:v>
      </x:c>
    </x:row>
    <x:row r="9" ht="52" customHeight="1">
      <x:c r="A9" s="106" t="str">
        <x:v>Published 2027</x:v>
      </x:c>
      <x:c r="B9" s="107" t="str">
        <x:v>Exact provider-published start or semester</x:v>
      </x:c>
      <x:c r="C9" s="107" t="str">
        <x:v>Separates confirmed dates from planning assumptions</x:v>
      </x:c>
      <x:c r="D9" s="108" t="str">
        <x:v>Published 2027 Intake(s) is never populated by inference</x:v>
      </x:c>
    </x:row>
    <x:row r="10" ht="52" customHeight="1">
      <x:c r="A10" s="106" t="str">
        <x:v>Projected 2027</x:v>
      </x:c>
      <x:c r="B10" s="107" t="str">
        <x:v>If no published 2027 start exists, shift each remaining 2026 start pattern forward by one year</x:v>
      </x:c>
      <x:c r="C10" s="107" t="str">
        <x:v>Supports planning while preserving evidence quality</x:v>
      </x:c>
      <x:c r="D10" s="108" t="str">
        <x:v>Projection is labelled, kept in a separate column, and must be reconfirmed before application</x:v>
      </x:c>
    </x:row>
    <x:row r="11" ht="52" customHeight="1">
      <x:c r="A11" s="106" t="str">
        <x:v>Fee year</x:v>
      </x:c>
      <x:c r="B11" s="107" t="str">
        <x:v>Fee amount keeps the year of its source</x:v>
      </x:c>
      <x:c r="C11" s="107" t="str">
        <x:v>A 2027 intake does not make a 2026 fee a 2027 fee</x:v>
      </x:c>
      <x:c r="D11" s="108" t="str">
        <x:v>2027 Fee Status says not published where applicable</x:v>
      </x:c>
    </x:row>
    <x:row r="12" ht="52" customHeight="1">
      <x:c r="A12" s="106" t="str">
        <x:v>Fee conflicts</x:v>
      </x:c>
      <x:c r="B12" s="107" t="str">
        <x:v>Year-labelled official source controls over unlabeled page</x:v>
      </x:c>
      <x:c r="C12" s="107" t="str">
        <x:v>Prevents mixing live current amounts with unknown fee year</x:v>
      </x:c>
      <x:c r="D12" s="108" t="str">
        <x:v>Conflict noted in Notes</x:v>
      </x:c>
    </x:row>
    <x:row r="13" ht="52" customHeight="1">
      <x:c r="A13" s="106" t="str">
        <x:v>Prerequisites</x:v>
      </x:c>
      <x:c r="B13" s="107" t="str">
        <x:v>Programme-level academic/subject rules where published</x:v>
      </x:c>
      <x:c r="C13" s="107" t="str">
        <x:v>Requirements vary by country and applicant</x:v>
      </x:c>
      <x:c r="D13" s="108" t="str">
        <x:v>Country-equivalence and final admissions assessment remain provider decisions</x:v>
      </x:c>
    </x:row>
    <x:row r="14" ht="52" customHeight="1">
      <x:c r="A14" s="106" t="str">
        <x:v>Scholarships</x:v>
      </x:c>
      <x:c r="B14" s="107" t="str">
        <x:v>Only official published grants/discounts</x:v>
      </x:c>
      <x:c r="C14" s="107" t="str">
        <x:v>Awards may be country/programme limited</x:v>
      </x:c>
      <x:c r="D14" s="108" t="str">
        <x:v>Eligibility must be reconfirmed before quotation</x:v>
      </x:c>
    </x:row>
    <x:row r="15" ht="52" customHeight="1">
      <x:c r="A15" s="106" t="str">
        <x:v>Verification</x:v>
      </x:c>
      <x:c r="B15" s="107" t="str">
        <x:v>Live programme page + international source</x:v>
      </x:c>
      <x:c r="C15" s="107" t="str">
        <x:v>Supports row-level auditability</x:v>
      </x:c>
      <x:c r="D15" s="108" t="str">
        <x:v>Every row has both URLs and a verification date</x:v>
      </x:c>
    </x:row>
    <x:row r="16" ht="52" customHeight="1">
      <x:c r="A16" s="109" t="str">
        <x:v>Completeness rule</x:v>
      </x:c>
      <x:c r="B16" s="110" t="str">
        <x:v>Verified-only</x:v>
      </x:c>
      <x:c r="C16" s="110" t="str">
        <x:v>No invented programmes or recurring dates</x:v>
      </x:c>
      <x:c r="D16" s="111" t="str">
        <x:v>Providers with zero qualifying rows remain visible in Summary and Sources</x:v>
      </x:c>
    </x:row>
  </x:sheetData>
  <x:mergeCells>
    <x:mergeCell ref="A1:D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16" hidden="0" customWidth="1"/>
    <x:col min="4" max="4" width="18" hidden="0" customWidth="1"/>
  </x:cols>
  <x:sheetData>
    <x:row r="1" ht="30" customHeight="1">
      <x:c r="A1" s="4" t="str">
        <x:v>Automated QA Checks</x:v>
      </x:c>
      <x:c r="B1" s="4" t="str">
        <x:v>Automated QA Checks</x:v>
      </x:c>
      <x:c r="C1" s="4" t="str">
        <x:v>Automated QA Checks</x:v>
      </x:c>
      <x:c r="D1" s="4" t="str">
        <x:v>Automated QA Checks</x:v>
      </x:c>
    </x:row>
    <x:row r="3" ht="36" customHeight="1">
      <x:c r="A3" s="20" t="str">
        <x:v>Check</x:v>
      </x:c>
      <x:c r="B3" s="21" t="str">
        <x:v>Result</x:v>
      </x:c>
      <x:c r="C3" s="21" t="str">
        <x:v>Expected</x:v>
      </x:c>
      <x:c r="D3" s="22" t="str">
        <x:v>Status</x:v>
      </x:c>
    </x:row>
    <x:row r="4" ht="28" customHeight="1">
      <x:c r="A4" s="70" t="str">
        <x:v>Total programme rows</x:v>
      </x:c>
      <x:c r="B4" s="71" t="n">
        <x:f>COUNTA('Programme Database'!A5:A282)</x:f>
        <x:v>278</x:v>
      </x:c>
      <x:c r="C4" s="71" t="n">
        <x:v>278</x:v>
      </x:c>
      <x:c r="D4" s="72" t="str">
        <x:f>IF(B4=C4,"PASS","CHECK")</x:f>
        <x:v>PASS</x:v>
      </x:c>
    </x:row>
    <x:row r="5" ht="28" customHeight="1">
      <x:c r="A5" s="73" t="str">
        <x:v>Blank programme URLs</x:v>
      </x:c>
      <x:c r="B5" s="74" t="n">
        <x:f>COUNTBLANK('Programme Database'!V5:V282)</x:f>
        <x:v>0</x:v>
      </x:c>
      <x:c r="C5" s="74" t="n">
        <x:v>0</x:v>
      </x:c>
      <x:c r="D5" s="75" t="str">
        <x:f>IF(B5=C5,"PASS","CHECK")</x:f>
        <x:v>PASS</x:v>
      </x:c>
    </x:row>
    <x:row r="6" ht="28" customHeight="1">
      <x:c r="A6" s="73" t="str">
        <x:v>Blank fee fields</x:v>
      </x:c>
      <x:c r="B6" s="74" t="n">
        <x:f>COUNTBLANK('Programme Database'!N5:N282)</x:f>
        <x:v>0</x:v>
      </x:c>
      <x:c r="C6" s="74" t="n">
        <x:v>0</x:v>
      </x:c>
      <x:c r="D6" s="75" t="str">
        <x:f>IF(B6=C6,"PASS","CHECK")</x:f>
        <x:v>PASS</x:v>
      </x:c>
    </x:row>
    <x:row r="7" ht="28" customHeight="1">
      <x:c r="A7" s="73" t="str">
        <x:v>Rows with neither 2026 nor planning 2027 intake</x:v>
      </x:c>
      <x:c r="B7" s="74" t="n">
        <x:f>COUNTIFS('Programme Database'!L5:L282,"",'Programme Database'!AC5:AC282,"")</x:f>
        <x:v>0</x:v>
      </x:c>
      <x:c r="C7" s="74" t="n">
        <x:v>0</x:v>
      </x:c>
      <x:c r="D7" s="75" t="str">
        <x:f>IF(B7=C7,"PASS","CHECK")</x:f>
        <x:v>PASS</x:v>
      </x:c>
    </x:row>
    <x:row r="8" ht="28" customHeight="1">
      <x:c r="A8" s="73" t="str">
        <x:v>Levels outside 4–9</x:v>
      </x:c>
      <x:c r="B8" s="74" t="n">
        <x:f>COUNTIF('Programme Database'!F5:F282,"&lt;4")+COUNTIF('Programme Database'!F5:F282,"&gt;9")</x:f>
        <x:v>0</x:v>
      </x:c>
      <x:c r="C8" s="74" t="n">
        <x:v>0</x:v>
      </x:c>
      <x:c r="D8" s="75" t="str">
        <x:f>IF(B8=C8,"PASS","CHECK")</x:f>
        <x:v>PASS</x:v>
      </x:c>
    </x:row>
    <x:row r="9" ht="28" customHeight="1">
      <x:c r="A9" s="73" t="str">
        <x:v>Blank verification dates</x:v>
      </x:c>
      <x:c r="B9" s="74" t="n">
        <x:f>COUNTBLANK('Programme Database'!X5:X282)</x:f>
        <x:v>0</x:v>
      </x:c>
      <x:c r="C9" s="74" t="n">
        <x:v>0</x:v>
      </x:c>
      <x:c r="D9" s="75" t="str">
        <x:f>IF(B9=C9,"PASS","CHECK")</x:f>
        <x:v>PASS</x:v>
      </x:c>
    </x:row>
    <x:row r="10" ht="28" customHeight="1">
      <x:c r="A10" s="73" t="str">
        <x:v>Rows mentioning online-only in intake/notes</x:v>
      </x:c>
      <x:c r="B10" s="74" t="n">
        <x:f>COUNTIF('Programme Database'!Z5:Z282,"*online-only*")+COUNTIF('Programme Database'!L5:L282,"*online only*")+COUNTIF('Programme Database'!M5:M282,"*online only*")</x:f>
        <x:v>0</x:v>
      </x:c>
      <x:c r="C10" s="74" t="n">
        <x:v>0</x:v>
      </x:c>
      <x:c r="D10" s="75" t="str">
        <x:f>IF(B10=C10,"PASS","CHECK")</x:f>
        <x:v>PASS</x:v>
      </x:c>
    </x:row>
    <x:row r="11" ht="28" customHeight="1">
      <x:c r="A11" s="73" t="str">
        <x:v>Blank campus / city fields</x:v>
      </x:c>
      <x:c r="B11" s="74" t="n">
        <x:f>COUNTBLANK('Programme Database'!J5:J282)</x:f>
        <x:v>0</x:v>
      </x:c>
      <x:c r="C11" s="74" t="n">
        <x:v>0</x:v>
      </x:c>
      <x:c r="D11" s="75" t="str">
        <x:f>IF(B11=C11,"PASS","CHECK")</x:f>
        <x:v>PASS</x:v>
      </x:c>
    </x:row>
    <x:row r="12" ht="28" customHeight="1">
      <x:c r="A12" s="73" t="str">
        <x:v>Blank duration fields</x:v>
      </x:c>
      <x:c r="B12" s="74" t="n">
        <x:f>COUNTBLANK('Programme Database'!K5:K282)</x:f>
        <x:v>0</x:v>
      </x:c>
      <x:c r="C12" s="74" t="n">
        <x:v>0</x:v>
      </x:c>
      <x:c r="D12" s="75" t="str">
        <x:f>IF(B12=C12,"PASS","CHECK")</x:f>
        <x:v>PASS</x:v>
      </x:c>
    </x:row>
    <x:row r="13" ht="28" customHeight="1">
      <x:c r="A13" s="73" t="str">
        <x:v>Projected 2027 rows without a basis</x:v>
      </x:c>
      <x:c r="B13" s="74" t="n">
        <x:f>COUNTBLANK('Programme Database'!AB5:AB282)</x:f>
        <x:v>0</x:v>
      </x:c>
      <x:c r="C13" s="74" t="n">
        <x:v>0</x:v>
      </x:c>
      <x:c r="D13" s="75" t="str">
        <x:f>IF(B13=C13,"PASS","CHECK")</x:f>
        <x:v>PASS</x:v>
      </x:c>
    </x:row>
    <x:row r="14" ht="28" customHeight="1">
      <x:c r="A14" s="76" t="str">
        <x:v>Projected 2027 rows</x:v>
      </x:c>
      <x:c r="B14" s="77" t="n">
        <x:f>COUNTA('Programme Database'!AA5:AA282)</x:f>
        <x:v>18</x:v>
      </x:c>
      <x:c r="C14" s="77" t="n">
        <x:v>18</x:v>
      </x:c>
      <x:c r="D14" s="78" t="str">
        <x:f>IF(B14=C14,"PASS","CHECK")</x:f>
        <x:v>PASS</x:v>
      </x:c>
    </x:row>
  </x:sheetData>
  <x:mergeCells>
    <x:mergeCell ref="A1:D1"/>
  </x:mergeCells>
  <x:conditionalFormatting sqref="D4:D14">
    <x:cfRule type="containsText" dxfId="5" priority="1" operator="containsText" text="PASS"/>
    <x:cfRule type="containsText" dxfId="6" priority="2" operator="containsText" text="CHECK"/>
  </x:conditionalFormatting>
  <x:pageMargins left="0.7" right="0.7" top="0.75" bottom="0.75" header="0.3" footer="0.3"/>
</x:worksheet>
</file>